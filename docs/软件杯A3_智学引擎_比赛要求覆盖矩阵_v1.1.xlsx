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覆盖总览" sheetId="1" state="visible" r:id="rId1"/>
    <sheet xmlns:r="http://schemas.openxmlformats.org/officeDocument/2006/relationships" name="比赛要求覆盖矩阵" sheetId="2" state="visible" r:id="rId2"/>
    <sheet xmlns:r="http://schemas.openxmlformats.org/officeDocument/2006/relationships" name="缺口与动作清单" sheetId="3" state="visible" r:id="rId3"/>
    <sheet xmlns:r="http://schemas.openxmlformats.org/officeDocument/2006/relationships" name="验收追踪表" sheetId="4" state="visible" r:id="rId4"/>
    <sheet xmlns:r="http://schemas.openxmlformats.org/officeDocument/2006/relationships" name="审核方法" sheetId="5" state="visible" r:id="rId5"/>
  </sheets>
  <definedNames>
    <definedName name="_xlnm._FilterDatabase" localSheetId="1" hidden="1">'比赛要求覆盖矩阵'!$A$1:$L$46</definedName>
    <definedName name="_xlnm._FilterDatabase" localSheetId="2" hidden="1">'缺口与动作清单'!$A$1:$G$19</definedName>
    <definedName name="_xlnm._FilterDatabase" localSheetId="3" hidden="1">'验收追踪表'!$A$1:$G$13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SimSun"/>
      <b val="1"/>
      <color rgb="00FFFFFF"/>
      <sz val="16"/>
    </font>
    <font>
      <name val="SimSun"/>
      <color rgb="00000000"/>
      <sz val="10"/>
    </font>
    <font>
      <name val="SimSun"/>
      <b val="1"/>
      <color rgb="00FFFFFF"/>
    </font>
    <font>
      <name val="SimSun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1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  <border>
      <left style="thin">
        <color rgb="00B7B7B7"/>
      </left>
      <right/>
      <top/>
      <bottom/>
      <diagonal/>
    </border>
    <border>
      <left/>
      <right style="thin">
        <color rgb="00B7B7B7"/>
      </right>
      <top/>
      <bottom/>
      <diagonal/>
    </border>
    <border>
      <left style="thin">
        <color rgb="00B7B7B7"/>
      </left>
      <right/>
      <top/>
      <bottom style="thin">
        <color rgb="00B7B7B7"/>
      </bottom>
      <diagonal/>
    </border>
    <border>
      <left/>
      <right/>
      <top/>
      <bottom style="thin">
        <color rgb="00B7B7B7"/>
      </bottom>
      <diagonal/>
    </border>
    <border>
      <left/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4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D9EAD3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覆盖状态按类别分布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'覆盖总览'!C17</f>
            </strRef>
          </tx>
          <spPr>
            <a:ln xmlns:a="http://schemas.openxmlformats.org/drawingml/2006/main">
              <a:prstDash val="solid"/>
            </a:ln>
          </spPr>
          <cat>
            <numRef>
              <f>'覆盖总览'!$A$18:$A$26</f>
            </numRef>
          </cat>
          <val>
            <numRef>
              <f>'覆盖总览'!$C$18:$C$26</f>
            </numRef>
          </val>
        </ser>
        <ser>
          <idx val="1"/>
          <order val="1"/>
          <tx>
            <strRef>
              <f>'覆盖总览'!D17</f>
            </strRef>
          </tx>
          <spPr>
            <a:ln xmlns:a="http://schemas.openxmlformats.org/drawingml/2006/main">
              <a:prstDash val="solid"/>
            </a:ln>
          </spPr>
          <cat>
            <numRef>
              <f>'覆盖总览'!$A$18:$A$26</f>
            </numRef>
          </cat>
          <val>
            <numRef>
              <f>'覆盖总览'!$D$18:$D$26</f>
            </numRef>
          </val>
        </ser>
        <ser>
          <idx val="2"/>
          <order val="2"/>
          <tx>
            <strRef>
              <f>'覆盖总览'!E17</f>
            </strRef>
          </tx>
          <spPr>
            <a:ln xmlns:a="http://schemas.openxmlformats.org/drawingml/2006/main">
              <a:prstDash val="solid"/>
            </a:ln>
          </spPr>
          <cat>
            <numRef>
              <f>'覆盖总览'!$A$18:$A$26</f>
            </numRef>
          </cat>
          <val>
            <numRef>
              <f>'覆盖总览'!$E$18:$E$26</f>
            </numRef>
          </val>
        </ser>
        <ser>
          <idx val="3"/>
          <order val="3"/>
          <tx>
            <strRef>
              <f>'覆盖总览'!F17</f>
            </strRef>
          </tx>
          <spPr>
            <a:ln xmlns:a="http://schemas.openxmlformats.org/drawingml/2006/main">
              <a:prstDash val="solid"/>
            </a:ln>
          </spPr>
          <cat>
            <numRef>
              <f>'覆盖总览'!$A$18:$A$26</f>
            </numRef>
          </cat>
          <val>
            <numRef>
              <f>'覆盖总览'!$F$18:$F$26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类别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条目数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16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tegorySummary" displayName="CategorySummary" ref="A17:F26" headerRowCount="1">
  <autoFilter ref="A17:F26"/>
  <tableColumns count="6">
    <tableColumn id="1" name="类别"/>
    <tableColumn id="2" name="总数"/>
    <tableColumn id="3" name="完全覆盖"/>
    <tableColumn id="4" name="部分覆盖"/>
    <tableColumn id="5" name="需补充"/>
    <tableColumn id="6" name="文档外交付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quirementCoverage" displayName="RequirementCoverage" ref="A1:L46" headerRowCount="1">
  <autoFilter ref="A1:L46"/>
  <tableColumns count="12">
    <tableColumn id="1" name="序号"/>
    <tableColumn id="2" name="要求分类"/>
    <tableColumn id="3" name="要求编号"/>
    <tableColumn id="4" name="比赛要求/验收关注点"/>
    <tableColumn id="5" name="性质/优先级"/>
    <tableColumn id="6" name="需求文档承接章节"/>
    <tableColumn id="7" name="对应用例"/>
    <tableColumn id="8" name="对应功能需求"/>
    <tableColumn id="9" name="对应非功能/数据/接口"/>
    <tableColumn id="10" name="覆盖结论"/>
    <tableColumn id="11" name="证据说明"/>
    <tableColumn id="12" name="补充动作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losedGaps" displayName="ClosedGaps" ref="A1:G19" headerRowCount="1">
  <autoFilter ref="A1:G19"/>
  <tableColumns count="7">
    <tableColumn id="1" name="缺口编号"/>
    <tableColumn id="2" name="关联要求"/>
    <tableColumn id="3" name="原缺口摘要"/>
    <tableColumn id="4" name="v1.2 关闭证据"/>
    <tableColumn id="5" name="关闭动作"/>
    <tableColumn id="6" name="优先级"/>
    <tableColumn id="7" name="状态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AcceptanceTrace" displayName="AcceptanceTrace" ref="A1:G13" headerRowCount="1">
  <autoFilter ref="A1:G13"/>
  <tableColumns count="7">
    <tableColumn id="1" name="测试/证据编号"/>
    <tableColumn id="2" name="验收主题"/>
    <tableColumn id="3" name="关联比赛要求"/>
    <tableColumn id="4" name="关联用例"/>
    <tableColumn id="5" name="关联需求"/>
    <tableColumn id="6" name="建议验收场景"/>
    <tableColumn id="7" name="应保留证据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ReviewMethod" displayName="ReviewMethod" ref="A3:F9" headerRowCount="1">
  <autoFilter ref="A3:F9"/>
  <tableColumns count="6">
    <tableColumn id="1" name="步骤"/>
    <tableColumn id="2" name="审核问题"/>
    <tableColumn id="3" name="通过标准"/>
    <tableColumn id="4" name="常见不通过表现"/>
    <tableColumn id="5" name="对应工作表"/>
    <tableColumn id="6" name="处理建议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4" customWidth="1" min="7" max="7"/>
    <col width="18" customWidth="1" min="8" max="8"/>
    <col width="18" customWidth="1" min="9" max="9"/>
    <col width="18" customWidth="1" min="10" max="10"/>
  </cols>
  <sheetData>
    <row r="1" ht="30" customHeight="1">
      <c r="A1" s="1" t="inlineStr">
        <is>
          <t>软件杯 A3 智学引擎 比赛要求覆盖矩阵</t>
        </is>
      </c>
    </row>
    <row r="3">
      <c r="A3" s="2" t="inlineStr">
        <is>
          <t>生成日期</t>
        </is>
      </c>
      <c r="B3" s="2" t="inlineStr">
        <is>
          <t>2026-06-21 23:41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比赛要求来源</t>
        </is>
      </c>
      <c r="B4" s="2" t="inlineStr">
        <is>
          <t>A3-基于大模型的个性化资源生成与学习多智能体系统开发_比赛要求文档.docx</t>
        </is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需求基准</t>
        </is>
      </c>
      <c r="B5" s="2" t="inlineStr">
        <is>
          <t>软件杯A3_智学引擎_需求规格说明书_v1.2_用户系统版.docx</t>
        </is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编制口径</t>
        </is>
      </c>
      <c r="B6" s="2" t="inlineStr">
        <is>
          <t>面向真实使用的学习系统；比赛提交材料单独跟踪，不写成系统功能。v1.1 矩阵已按 v1.2 需求文档关闭部分覆盖缺口。</t>
        </is>
      </c>
      <c r="C6" s="3" t="n"/>
      <c r="D6" s="3" t="n"/>
      <c r="E6" s="3" t="n"/>
      <c r="F6" s="3" t="n"/>
      <c r="G6" s="3" t="n"/>
      <c r="H6" s="3" t="n"/>
      <c r="I6" s="3" t="n"/>
      <c r="J6" s="4" t="n"/>
    </row>
    <row r="8">
      <c r="A8" s="5" t="inlineStr">
        <is>
          <t>指标</t>
        </is>
      </c>
      <c r="B8" s="5" t="inlineStr">
        <is>
          <t>数值</t>
        </is>
      </c>
      <c r="C8" s="5" t="inlineStr">
        <is>
          <t>说明</t>
        </is>
      </c>
    </row>
    <row r="9">
      <c r="A9" s="2" t="inlineStr">
        <is>
          <t>总要求条目</t>
        </is>
      </c>
      <c r="B9" s="2">
        <f>COUNTA('比赛要求覆盖矩阵'!A2:A200)</f>
        <v/>
      </c>
      <c r="C9" s="2" t="inlineStr">
        <is>
          <t>覆盖比赛功能、非功能、实现数据、文档与提交要求。</t>
        </is>
      </c>
    </row>
    <row r="10">
      <c r="A10" s="2" t="inlineStr">
        <is>
          <t>完全覆盖</t>
        </is>
      </c>
      <c r="B10" s="2">
        <f>COUNTIF('比赛要求覆盖矩阵'!J2:J200,"完全覆盖")</f>
        <v/>
      </c>
      <c r="C10" s="2" t="inlineStr">
        <is>
          <t>已在需求规格说明书中形成明确承接。</t>
        </is>
      </c>
    </row>
    <row r="11">
      <c r="A11" s="2" t="inlineStr">
        <is>
          <t>部分覆盖</t>
        </is>
      </c>
      <c r="B11" s="2">
        <f>COUNTIF('比赛要求覆盖矩阵'!J2:J200,"部分覆盖")</f>
        <v/>
      </c>
      <c r="C11" s="2" t="inlineStr">
        <is>
          <t>需求层已有承接，但需设计、测试、数据或交付文档补证据。</t>
        </is>
      </c>
    </row>
    <row r="12">
      <c r="A12" s="2" t="inlineStr">
        <is>
          <t>需补充</t>
        </is>
      </c>
      <c r="B12" s="2">
        <f>COUNTIF('比赛要求覆盖矩阵'!J2:J200,"需补充")</f>
        <v/>
      </c>
      <c r="C12" s="2" t="inlineStr">
        <is>
          <t>当前需求基准未充分覆盖。</t>
        </is>
      </c>
    </row>
    <row r="13">
      <c r="A13" s="2" t="inlineStr">
        <is>
          <t>文档外交付</t>
        </is>
      </c>
      <c r="B13" s="2">
        <f>COUNTIF('比赛要求覆盖矩阵'!J2:J200,"文档外交付")</f>
        <v/>
      </c>
      <c r="C13" s="2" t="inlineStr">
        <is>
          <t>属于比赛提交材料，不进入系统功能需求。</t>
        </is>
      </c>
    </row>
    <row r="14">
      <c r="A14" s="2" t="inlineStr">
        <is>
          <t>实质覆盖率</t>
        </is>
      </c>
      <c r="B14" s="6">
        <f>IF((B9-B13)&lt;=0,0,(B10+0.5*B11)/(B9-B13))</f>
        <v/>
      </c>
      <c r="C14" s="2" t="inlineStr">
        <is>
          <t>不含文档外交付项，部分覆盖按 50% 折算。</t>
        </is>
      </c>
    </row>
    <row r="17">
      <c r="A17" s="5" t="inlineStr">
        <is>
          <t>类别</t>
        </is>
      </c>
      <c r="B17" s="5" t="inlineStr">
        <is>
          <t>总数</t>
        </is>
      </c>
      <c r="C17" s="5" t="inlineStr">
        <is>
          <t>完全覆盖</t>
        </is>
      </c>
      <c r="D17" s="5" t="inlineStr">
        <is>
          <t>部分覆盖</t>
        </is>
      </c>
      <c r="E17" s="5" t="inlineStr">
        <is>
          <t>需补充</t>
        </is>
      </c>
      <c r="F17" s="5" t="inlineStr">
        <is>
          <t>文档外交付</t>
        </is>
      </c>
    </row>
    <row r="18">
      <c r="A18" s="2" t="inlineStr">
        <is>
          <t>加分功能</t>
        </is>
      </c>
      <c r="B18" s="2">
        <f>COUNTIF('比赛要求覆盖矩阵'!B:B,A18)</f>
        <v/>
      </c>
      <c r="C18" s="2">
        <f>COUNTIFS('比赛要求覆盖矩阵'!B:B,A18,'比赛要求覆盖矩阵'!J:J,"完全覆盖")</f>
        <v/>
      </c>
      <c r="D18" s="2">
        <f>COUNTIFS('比赛要求覆盖矩阵'!B:B,A18,'比赛要求覆盖矩阵'!J:J,"部分覆盖")</f>
        <v/>
      </c>
      <c r="E18" s="2">
        <f>COUNTIFS('比赛要求覆盖矩阵'!B:B,A18,'比赛要求覆盖矩阵'!J:J,"需补充")</f>
        <v/>
      </c>
      <c r="F18" s="2">
        <f>COUNTIFS('比赛要求覆盖矩阵'!B:B,A18,'比赛要求覆盖矩阵'!J:J,"文档外交付")</f>
        <v/>
      </c>
    </row>
    <row r="19">
      <c r="A19" s="2" t="inlineStr">
        <is>
          <t>基本功能</t>
        </is>
      </c>
      <c r="B19" s="2">
        <f>COUNTIF('比赛要求覆盖矩阵'!B:B,A19)</f>
        <v/>
      </c>
      <c r="C19" s="2">
        <f>COUNTIFS('比赛要求覆盖矩阵'!B:B,A19,'比赛要求覆盖矩阵'!J:J,"完全覆盖")</f>
        <v/>
      </c>
      <c r="D19" s="2">
        <f>COUNTIFS('比赛要求覆盖矩阵'!B:B,A19,'比赛要求覆盖矩阵'!J:J,"部分覆盖")</f>
        <v/>
      </c>
      <c r="E19" s="2">
        <f>COUNTIFS('比赛要求覆盖矩阵'!B:B,A19,'比赛要求覆盖矩阵'!J:J,"需补充")</f>
        <v/>
      </c>
      <c r="F19" s="2">
        <f>COUNTIFS('比赛要求覆盖矩阵'!B:B,A19,'比赛要求覆盖矩阵'!J:J,"文档外交付")</f>
        <v/>
      </c>
    </row>
    <row r="20">
      <c r="A20" s="2" t="inlineStr">
        <is>
          <t>实现与数据</t>
        </is>
      </c>
      <c r="B20" s="2">
        <f>COUNTIF('比赛要求覆盖矩阵'!B:B,A20)</f>
        <v/>
      </c>
      <c r="C20" s="2">
        <f>COUNTIFS('比赛要求覆盖矩阵'!B:B,A20,'比赛要求覆盖矩阵'!J:J,"完全覆盖")</f>
        <v/>
      </c>
      <c r="D20" s="2">
        <f>COUNTIFS('比赛要求覆盖矩阵'!B:B,A20,'比赛要求覆盖矩阵'!J:J,"部分覆盖")</f>
        <v/>
      </c>
      <c r="E20" s="2">
        <f>COUNTIFS('比赛要求覆盖矩阵'!B:B,A20,'比赛要求覆盖矩阵'!J:J,"需补充")</f>
        <v/>
      </c>
      <c r="F20" s="2">
        <f>COUNTIFS('比赛要求覆盖矩阵'!B:B,A20,'比赛要求覆盖矩阵'!J:J,"文档外交付")</f>
        <v/>
      </c>
    </row>
    <row r="21">
      <c r="A21" s="2" t="inlineStr">
        <is>
          <t>提交材料</t>
        </is>
      </c>
      <c r="B21" s="2">
        <f>COUNTIF('比赛要求覆盖矩阵'!B:B,A21)</f>
        <v/>
      </c>
      <c r="C21" s="2">
        <f>COUNTIFS('比赛要求覆盖矩阵'!B:B,A21,'比赛要求覆盖矩阵'!J:J,"完全覆盖")</f>
        <v/>
      </c>
      <c r="D21" s="2">
        <f>COUNTIFS('比赛要求覆盖矩阵'!B:B,A21,'比赛要求覆盖矩阵'!J:J,"部分覆盖")</f>
        <v/>
      </c>
      <c r="E21" s="2">
        <f>COUNTIFS('比赛要求覆盖矩阵'!B:B,A21,'比赛要求覆盖矩阵'!J:J,"需补充")</f>
        <v/>
      </c>
      <c r="F21" s="2">
        <f>COUNTIFS('比赛要求覆盖矩阵'!B:B,A21,'比赛要求覆盖矩阵'!J:J,"文档外交付")</f>
        <v/>
      </c>
    </row>
    <row r="22">
      <c r="A22" s="2" t="inlineStr">
        <is>
          <t>文档要求</t>
        </is>
      </c>
      <c r="B22" s="2">
        <f>COUNTIF('比赛要求覆盖矩阵'!B:B,A22)</f>
        <v/>
      </c>
      <c r="C22" s="2">
        <f>COUNTIFS('比赛要求覆盖矩阵'!B:B,A22,'比赛要求覆盖矩阵'!J:J,"完全覆盖")</f>
        <v/>
      </c>
      <c r="D22" s="2">
        <f>COUNTIFS('比赛要求覆盖矩阵'!B:B,A22,'比赛要求覆盖矩阵'!J:J,"部分覆盖")</f>
        <v/>
      </c>
      <c r="E22" s="2">
        <f>COUNTIFS('比赛要求覆盖矩阵'!B:B,A22,'比赛要求覆盖矩阵'!J:J,"需补充")</f>
        <v/>
      </c>
      <c r="F22" s="2">
        <f>COUNTIFS('比赛要求覆盖矩阵'!B:B,A22,'比赛要求覆盖矩阵'!J:J,"文档外交付")</f>
        <v/>
      </c>
    </row>
    <row r="23">
      <c r="A23" s="2" t="inlineStr">
        <is>
          <t>非功能体验</t>
        </is>
      </c>
      <c r="B23" s="2">
        <f>COUNTIF('比赛要求覆盖矩阵'!B:B,A23)</f>
        <v/>
      </c>
      <c r="C23" s="2">
        <f>COUNTIFS('比赛要求覆盖矩阵'!B:B,A23,'比赛要求覆盖矩阵'!J:J,"完全覆盖")</f>
        <v/>
      </c>
      <c r="D23" s="2">
        <f>COUNTIFS('比赛要求覆盖矩阵'!B:B,A23,'比赛要求覆盖矩阵'!J:J,"部分覆盖")</f>
        <v/>
      </c>
      <c r="E23" s="2">
        <f>COUNTIFS('比赛要求覆盖矩阵'!B:B,A23,'比赛要求覆盖矩阵'!J:J,"需补充")</f>
        <v/>
      </c>
      <c r="F23" s="2">
        <f>COUNTIFS('比赛要求覆盖矩阵'!B:B,A23,'比赛要求覆盖矩阵'!J:J,"文档外交付")</f>
        <v/>
      </c>
    </row>
    <row r="24">
      <c r="A24" s="2" t="inlineStr">
        <is>
          <t>非功能合规</t>
        </is>
      </c>
      <c r="B24" s="2">
        <f>COUNTIF('比赛要求覆盖矩阵'!B:B,A24)</f>
        <v/>
      </c>
      <c r="C24" s="2">
        <f>COUNTIFS('比赛要求覆盖矩阵'!B:B,A24,'比赛要求覆盖矩阵'!J:J,"完全覆盖")</f>
        <v/>
      </c>
      <c r="D24" s="2">
        <f>COUNTIFS('比赛要求覆盖矩阵'!B:B,A24,'比赛要求覆盖矩阵'!J:J,"部分覆盖")</f>
        <v/>
      </c>
      <c r="E24" s="2">
        <f>COUNTIFS('比赛要求覆盖矩阵'!B:B,A24,'比赛要求覆盖矩阵'!J:J,"需补充")</f>
        <v/>
      </c>
      <c r="F24" s="2">
        <f>COUNTIFS('比赛要求覆盖矩阵'!B:B,A24,'比赛要求覆盖矩阵'!J:J,"文档外交付")</f>
        <v/>
      </c>
    </row>
    <row r="25">
      <c r="A25" s="2" t="inlineStr">
        <is>
          <t>非功能性能</t>
        </is>
      </c>
      <c r="B25" s="2">
        <f>COUNTIF('比赛要求覆盖矩阵'!B:B,A25)</f>
        <v/>
      </c>
      <c r="C25" s="2">
        <f>COUNTIFS('比赛要求覆盖矩阵'!B:B,A25,'比赛要求覆盖矩阵'!J:J,"完全覆盖")</f>
        <v/>
      </c>
      <c r="D25" s="2">
        <f>COUNTIFS('比赛要求覆盖矩阵'!B:B,A25,'比赛要求覆盖矩阵'!J:J,"部分覆盖")</f>
        <v/>
      </c>
      <c r="E25" s="2">
        <f>COUNTIFS('比赛要求覆盖矩阵'!B:B,A25,'比赛要求覆盖矩阵'!J:J,"需补充")</f>
        <v/>
      </c>
      <c r="F25" s="2">
        <f>COUNTIFS('比赛要求覆盖矩阵'!B:B,A25,'比赛要求覆盖矩阵'!J:J,"文档外交付")</f>
        <v/>
      </c>
    </row>
    <row r="26">
      <c r="A26" s="2" t="inlineStr">
        <is>
          <t>非功能质量</t>
        </is>
      </c>
      <c r="B26" s="2">
        <f>COUNTIF('比赛要求覆盖矩阵'!B:B,A26)</f>
        <v/>
      </c>
      <c r="C26" s="2">
        <f>COUNTIFS('比赛要求覆盖矩阵'!B:B,A26,'比赛要求覆盖矩阵'!J:J,"完全覆盖")</f>
        <v/>
      </c>
      <c r="D26" s="2">
        <f>COUNTIFS('比赛要求覆盖矩阵'!B:B,A26,'比赛要求覆盖矩阵'!J:J,"部分覆盖")</f>
        <v/>
      </c>
      <c r="E26" s="2">
        <f>COUNTIFS('比赛要求覆盖矩阵'!B:B,A26,'比赛要求覆盖矩阵'!J:J,"需补充")</f>
        <v/>
      </c>
      <c r="F26" s="2">
        <f>COUNTIFS('比赛要求覆盖矩阵'!B:B,A26,'比赛要求覆盖矩阵'!J:J,"文档外交付")</f>
        <v/>
      </c>
    </row>
    <row r="29">
      <c r="A29" s="7" t="inlineStr">
        <is>
          <t>审核结论提示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inlineStr">
        <is>
          <t>当前需求规格说明书 v1.2 已关闭覆盖矩阵中的 18 个部分覆盖项；PPT、说明视频、源码包等仍按文档外交付单独管理。</t>
        </is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9" t="n"/>
    </row>
    <row r="31">
      <c r="A31" s="10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2" t="n"/>
    </row>
  </sheetData>
  <mergeCells count="3">
    <mergeCell ref="A1:J1"/>
    <mergeCell ref="B6:J6"/>
    <mergeCell ref="A30:J3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showGridLines="0"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36" customWidth="1" min="4" max="4"/>
    <col width="12" customWidth="1" min="5" max="5"/>
    <col width="28" customWidth="1" min="6" max="6"/>
    <col width="18" customWidth="1" min="7" max="7"/>
    <col width="24" customWidth="1" min="8" max="8"/>
    <col width="24" customWidth="1" min="9" max="9"/>
    <col width="14" customWidth="1" min="10" max="10"/>
    <col width="34" customWidth="1" min="11" max="11"/>
    <col width="34" customWidth="1" min="12" max="12"/>
  </cols>
  <sheetData>
    <row r="1">
      <c r="A1" s="13" t="inlineStr">
        <is>
          <t>序号</t>
        </is>
      </c>
      <c r="B1" s="13" t="inlineStr">
        <is>
          <t>要求分类</t>
        </is>
      </c>
      <c r="C1" s="13" t="inlineStr">
        <is>
          <t>要求编号</t>
        </is>
      </c>
      <c r="D1" s="13" t="inlineStr">
        <is>
          <t>比赛要求/验收关注点</t>
        </is>
      </c>
      <c r="E1" s="13" t="inlineStr">
        <is>
          <t>性质/优先级</t>
        </is>
      </c>
      <c r="F1" s="13" t="inlineStr">
        <is>
          <t>需求文档承接章节</t>
        </is>
      </c>
      <c r="G1" s="13" t="inlineStr">
        <is>
          <t>对应用例</t>
        </is>
      </c>
      <c r="H1" s="13" t="inlineStr">
        <is>
          <t>对应功能需求</t>
        </is>
      </c>
      <c r="I1" s="13" t="inlineStr">
        <is>
          <t>对应非功能/数据/接口</t>
        </is>
      </c>
      <c r="J1" s="13" t="inlineStr">
        <is>
          <t>覆盖结论</t>
        </is>
      </c>
      <c r="K1" s="13" t="inlineStr">
        <is>
          <t>证据说明</t>
        </is>
      </c>
      <c r="L1" s="13" t="inlineStr">
        <is>
          <t>补充动作</t>
        </is>
      </c>
    </row>
    <row r="2" ht="58" customHeight="1">
      <c r="A2" s="14" t="inlineStr">
        <is>
          <t>1</t>
        </is>
      </c>
      <c r="B2" s="14" t="inlineStr">
        <is>
          <t>基本功能</t>
        </is>
      </c>
      <c r="C2" s="14" t="inlineStr">
        <is>
          <t>RQ-F01</t>
        </is>
      </c>
      <c r="D2" s="14" t="inlineStr">
        <is>
          <t>系统通过自然语言交互采集学生信息。</t>
        </is>
      </c>
      <c r="E2" s="14" t="inlineStr">
        <is>
          <t>必做/P0</t>
        </is>
      </c>
      <c r="F2" s="14" t="inlineStr">
        <is>
          <t>3.1 参与者；5.2 学习画像；6.1 画像构建流程</t>
        </is>
      </c>
      <c r="G2" s="14" t="inlineStr">
        <is>
          <t>UC-01</t>
        </is>
      </c>
      <c r="H2" s="14" t="inlineStr">
        <is>
          <t>FR-002</t>
        </is>
      </c>
      <c r="I2" s="14" t="inlineStr">
        <is>
          <t>LearningProfile、ProfileEvent</t>
        </is>
      </c>
      <c r="J2" s="14" t="inlineStr">
        <is>
          <t>完全覆盖</t>
        </is>
      </c>
      <c r="K2" s="14" t="inlineStr">
        <is>
          <t>需求文档明确对话采集、字段确认和画像版本化。</t>
        </is>
      </c>
      <c r="L2" s="14" t="inlineStr">
        <is>
          <t>按画像抽取测试用例验证。</t>
        </is>
      </c>
    </row>
    <row r="3" ht="58" customHeight="1">
      <c r="A3" s="14" t="inlineStr">
        <is>
          <t>2</t>
        </is>
      </c>
      <c r="B3" s="14" t="inlineStr">
        <is>
          <t>基本功能</t>
        </is>
      </c>
      <c r="C3" s="14" t="inlineStr">
        <is>
          <t>RQ-F02</t>
        </is>
      </c>
      <c r="D3" s="14" t="inlineStr">
        <is>
          <t>由大模型自动抽取画像特征。</t>
        </is>
      </c>
      <c r="E3" s="14" t="inlineStr">
        <is>
          <t>必做/P0</t>
        </is>
      </c>
      <c r="F3" s="14" t="inlineStr">
        <is>
          <t>5.2 学习画像；7.1 外部能力</t>
        </is>
      </c>
      <c r="G3" s="14" t="inlineStr">
        <is>
          <t>UC-01</t>
        </is>
      </c>
      <c r="H3" s="14" t="inlineStr">
        <is>
          <t>FR-002</t>
        </is>
      </c>
      <c r="I3" s="14" t="inlineStr">
        <is>
          <t>ModelService、ProfileSet</t>
        </is>
      </c>
      <c r="J3" s="14" t="inlineStr">
        <is>
          <t>完全覆盖</t>
        </is>
      </c>
      <c r="K3" s="14" t="inlineStr">
        <is>
          <t>画像抽取被定义为模型能力和系统业务流程。</t>
        </is>
      </c>
      <c r="L3" s="14" t="inlineStr">
        <is>
          <t>补充抽取准确率样例集。</t>
        </is>
      </c>
    </row>
    <row r="4" ht="58" customHeight="1">
      <c r="A4" s="14" t="inlineStr">
        <is>
          <t>3</t>
        </is>
      </c>
      <c r="B4" s="14" t="inlineStr">
        <is>
          <t>基本功能</t>
        </is>
      </c>
      <c r="C4" s="14" t="inlineStr">
        <is>
          <t>RQ-F03</t>
        </is>
      </c>
      <c r="D4" s="14" t="inlineStr">
        <is>
          <t>画像维度不少于 6 个，并可按系统设计扩展。</t>
        </is>
      </c>
      <c r="E4" s="14" t="inlineStr">
        <is>
          <t>必做/P0</t>
        </is>
      </c>
      <c r="F4" s="14" t="inlineStr">
        <is>
          <t>5.2 学习画像</t>
        </is>
      </c>
      <c r="G4" s="14" t="inlineStr">
        <is>
          <t>UC-01</t>
        </is>
      </c>
      <c r="H4" s="14" t="inlineStr">
        <is>
          <t>FR-002</t>
        </is>
      </c>
      <c r="I4" s="14" t="inlineStr">
        <is>
          <t>LearningProfile</t>
        </is>
      </c>
      <c r="J4" s="14" t="inlineStr">
        <is>
          <t>完全覆盖</t>
        </is>
      </c>
      <c r="K4" s="14" t="inlineStr">
        <is>
          <t>需求文档覆盖专业背景、知识基础、学习目标、学习历史、偏好、短板等维度。</t>
        </is>
      </c>
      <c r="L4" s="14" t="inlineStr">
        <is>
          <t>在测试集中逐项校验字段完整性。</t>
        </is>
      </c>
    </row>
    <row r="5" ht="58" customHeight="1">
      <c r="A5" s="14" t="inlineStr">
        <is>
          <t>4</t>
        </is>
      </c>
      <c r="B5" s="14" t="inlineStr">
        <is>
          <t>基本功能</t>
        </is>
      </c>
      <c r="C5" s="14" t="inlineStr">
        <is>
          <t>RQ-F04</t>
        </is>
      </c>
      <c r="D5" s="14" t="inlineStr">
        <is>
          <t>学习画像应支持动态更新。</t>
        </is>
      </c>
      <c r="E5" s="14" t="inlineStr">
        <is>
          <t>必做/P0</t>
        </is>
      </c>
      <c r="F5" s="14" t="inlineStr">
        <is>
          <t>5.2 学习画像；6.4 学习评估闭环</t>
        </is>
      </c>
      <c r="G5" s="14" t="inlineStr">
        <is>
          <t>UC-01/UC-06</t>
        </is>
      </c>
      <c r="H5" s="14" t="inlineStr">
        <is>
          <t>FR-003/FR-013</t>
        </is>
      </c>
      <c r="I5" s="14" t="inlineStr">
        <is>
          <t>ProfileEvent、Report</t>
        </is>
      </c>
      <c r="J5" s="14" t="inlineStr">
        <is>
          <t>完全覆盖</t>
        </is>
      </c>
      <c r="K5" s="14" t="inlineStr">
        <is>
          <t>学习行为、练习结果和反馈可触发画像版本更新。</t>
        </is>
      </c>
      <c r="L5" s="14" t="inlineStr">
        <is>
          <t>验证画像版本号和变更原因。</t>
        </is>
      </c>
    </row>
    <row r="6" ht="58" customHeight="1">
      <c r="A6" s="14" t="inlineStr">
        <is>
          <t>5</t>
        </is>
      </c>
      <c r="B6" s="14" t="inlineStr">
        <is>
          <t>基本功能</t>
        </is>
      </c>
      <c r="C6" s="14" t="inlineStr">
        <is>
          <t>RQ-F05</t>
        </is>
      </c>
      <c r="D6" s="14" t="inlineStr">
        <is>
          <t>系统必须体现多智能体架构设计。</t>
        </is>
      </c>
      <c r="E6" s="14" t="inlineStr">
        <is>
          <t>必做/P0</t>
        </is>
      </c>
      <c r="F6" s="14" t="inlineStr">
        <is>
          <t>5.5 多 Agent 编排；7.1 外部能力</t>
        </is>
      </c>
      <c r="G6" s="14" t="inlineStr">
        <is>
          <t>UC-02/UC-09</t>
        </is>
      </c>
      <c r="H6" s="14" t="inlineStr">
        <is>
          <t>FR-007</t>
        </is>
      </c>
      <c r="I6" s="14" t="inlineStr">
        <is>
          <t>AgentRun、AgentLog</t>
        </is>
      </c>
      <c r="J6" s="14" t="inlineStr">
        <is>
          <t>完全覆盖</t>
        </is>
      </c>
      <c r="K6" s="14" t="inlineStr">
        <is>
          <t>需求中定义画像、检索、资源、审核、路径等 Agent 协作。</t>
        </is>
      </c>
      <c r="L6" s="14" t="inlineStr">
        <is>
          <t>后续架构设计文档补流程图。</t>
        </is>
      </c>
    </row>
    <row r="7" ht="58" customHeight="1">
      <c r="A7" s="14" t="inlineStr">
        <is>
          <t>6</t>
        </is>
      </c>
      <c r="B7" s="14" t="inlineStr">
        <is>
          <t>基本功能</t>
        </is>
      </c>
      <c r="C7" s="14" t="inlineStr">
        <is>
          <t>RQ-F06</t>
        </is>
      </c>
      <c r="D7" s="14" t="inlineStr">
        <is>
          <t>不同智能体应有角色、职责和协作流程。</t>
        </is>
      </c>
      <c r="E7" s="14" t="inlineStr">
        <is>
          <t>必做/P0</t>
        </is>
      </c>
      <c r="F7" s="14" t="inlineStr">
        <is>
          <t>5.5 多 Agent 编排；8 数据模型</t>
        </is>
      </c>
      <c r="G7" s="14" t="inlineStr">
        <is>
          <t>UC-02/UC-09</t>
        </is>
      </c>
      <c r="H7" s="14" t="inlineStr">
        <is>
          <t>FR-007</t>
        </is>
      </c>
      <c r="I7" s="14" t="inlineStr">
        <is>
          <t>AgentRun、AgentLog</t>
        </is>
      </c>
      <c r="J7" s="14" t="inlineStr">
        <is>
          <t>完全覆盖</t>
        </is>
      </c>
      <c r="K7" s="14" t="inlineStr">
        <is>
          <t>需求中要求记录 Agent 节点、输入输出、状态和失败原因。</t>
        </is>
      </c>
      <c r="L7" s="14" t="inlineStr">
        <is>
          <t>补充 Agent Contract 明细。</t>
        </is>
      </c>
    </row>
    <row r="8" ht="58" customHeight="1">
      <c r="A8" s="14" t="inlineStr">
        <is>
          <t>7</t>
        </is>
      </c>
      <c r="B8" s="14" t="inlineStr">
        <is>
          <t>基本功能</t>
        </is>
      </c>
      <c r="C8" s="14" t="inlineStr">
        <is>
          <t>RQ-F07</t>
        </is>
      </c>
      <c r="D8" s="14" t="inlineStr">
        <is>
          <t>至少支持 5 种个性化资源生成。</t>
        </is>
      </c>
      <c r="E8" s="14" t="inlineStr">
        <is>
          <t>必做/P0</t>
        </is>
      </c>
      <c r="F8" s="14" t="inlineStr">
        <is>
          <t>5.6 个性化资源生成</t>
        </is>
      </c>
      <c r="G8" s="14" t="inlineStr">
        <is>
          <t>UC-02</t>
        </is>
      </c>
      <c r="H8" s="14" t="inlineStr">
        <is>
          <t>FR-008</t>
        </is>
      </c>
      <c r="I8" s="14" t="inlineStr">
        <is>
          <t>Resource、ResourceSet</t>
        </is>
      </c>
      <c r="J8" s="14" t="inlineStr">
        <is>
          <t>完全覆盖</t>
        </is>
      </c>
      <c r="K8" s="14" t="inlineStr">
        <is>
          <t>资源类型覆盖讲义、导图、题目、阅读、实操、项目材料等。</t>
        </is>
      </c>
      <c r="L8" s="14" t="inlineStr">
        <is>
          <t>按资源类型建立验收样例。</t>
        </is>
      </c>
    </row>
    <row r="9" ht="58" customHeight="1">
      <c r="A9" s="14" t="inlineStr">
        <is>
          <t>8</t>
        </is>
      </c>
      <c r="B9" s="14" t="inlineStr">
        <is>
          <t>基本功能</t>
        </is>
      </c>
      <c r="C9" s="14" t="inlineStr">
        <is>
          <t>RQ-F08</t>
        </is>
      </c>
      <c r="D9" s="14" t="inlineStr">
        <is>
          <t>支持专业课程讲解文档生成。</t>
        </is>
      </c>
      <c r="E9" s="14" t="inlineStr">
        <is>
          <t>必做/P0</t>
        </is>
      </c>
      <c r="F9" s="14" t="inlineStr">
        <is>
          <t>5.6 个性化资源生成</t>
        </is>
      </c>
      <c r="G9" s="14" t="inlineStr">
        <is>
          <t>UC-02</t>
        </is>
      </c>
      <c r="H9" s="14" t="inlineStr">
        <is>
          <t>FR-008</t>
        </is>
      </c>
      <c r="I9" s="14" t="inlineStr">
        <is>
          <t>Resource</t>
        </is>
      </c>
      <c r="J9" s="14" t="inlineStr">
        <is>
          <t>完全覆盖</t>
        </is>
      </c>
      <c r="K9" s="14" t="inlineStr">
        <is>
          <t>文档类资源作为基础资源类型承接。</t>
        </is>
      </c>
      <c r="L9" s="14" t="inlineStr">
        <is>
          <t>抽样检查引用和层级适配。</t>
        </is>
      </c>
    </row>
    <row r="10" ht="58" customHeight="1">
      <c r="A10" s="14" t="inlineStr">
        <is>
          <t>9</t>
        </is>
      </c>
      <c r="B10" s="14" t="inlineStr">
        <is>
          <t>基本功能</t>
        </is>
      </c>
      <c r="C10" s="14" t="inlineStr">
        <is>
          <t>RQ-F09</t>
        </is>
      </c>
      <c r="D10" s="14" t="inlineStr">
        <is>
          <t>支持知识点思维导图或知识结构资源。</t>
        </is>
      </c>
      <c r="E10" s="14" t="inlineStr">
        <is>
          <t>必做/P0</t>
        </is>
      </c>
      <c r="F10" s="14" t="inlineStr">
        <is>
          <t>5.4 知识图谱；5.6 个性化资源生成</t>
        </is>
      </c>
      <c r="G10" s="14" t="inlineStr">
        <is>
          <t>UC-02</t>
        </is>
      </c>
      <c r="H10" s="14" t="inlineStr">
        <is>
          <t>FR-005/FR-008</t>
        </is>
      </c>
      <c r="I10" s="14" t="inlineStr">
        <is>
          <t>GraphNode、GraphEdge、Resource</t>
        </is>
      </c>
      <c r="J10" s="14" t="inlineStr">
        <is>
          <t>完全覆盖</t>
        </is>
      </c>
      <c r="K10" s="14" t="inlineStr">
        <is>
          <t>知识图谱和导图类资源共同承接结构化学习要求。</t>
        </is>
      </c>
      <c r="L10" s="14" t="inlineStr">
        <is>
          <t>补充导图导出或渲染验收。</t>
        </is>
      </c>
    </row>
    <row r="11" ht="58" customHeight="1">
      <c r="A11" s="14" t="inlineStr">
        <is>
          <t>10</t>
        </is>
      </c>
      <c r="B11" s="14" t="inlineStr">
        <is>
          <t>基本功能</t>
        </is>
      </c>
      <c r="C11" s="14" t="inlineStr">
        <is>
          <t>RQ-F10</t>
        </is>
      </c>
      <c r="D11" s="14" t="inlineStr">
        <is>
          <t>支持不同类型练习题目生成。</t>
        </is>
      </c>
      <c r="E11" s="14" t="inlineStr">
        <is>
          <t>必做/P0</t>
        </is>
      </c>
      <c r="F11" s="14" t="inlineStr">
        <is>
          <t>5.6 资源生成；5.8 练习诊断</t>
        </is>
      </c>
      <c r="G11" s="14" t="inlineStr">
        <is>
          <t>UC-02/UC-04</t>
        </is>
      </c>
      <c r="H11" s="14" t="inlineStr">
        <is>
          <t>FR-008/FR-010</t>
        </is>
      </c>
      <c r="I11" s="14" t="inlineStr">
        <is>
          <t>Resource、PracticeSubmission</t>
        </is>
      </c>
      <c r="J11" s="14" t="inlineStr">
        <is>
          <t>完全覆盖</t>
        </is>
      </c>
      <c r="K11" s="14" t="inlineStr">
        <is>
          <t>题库、练习提交、错因诊断均有需求映射。</t>
        </is>
      </c>
      <c r="L11" s="14" t="inlineStr">
        <is>
          <t>覆盖选择、判断、简答、编程题样例。</t>
        </is>
      </c>
    </row>
    <row r="12" ht="58" customHeight="1">
      <c r="A12" s="14" t="inlineStr">
        <is>
          <t>11</t>
        </is>
      </c>
      <c r="B12" s="14" t="inlineStr">
        <is>
          <t>基本功能</t>
        </is>
      </c>
      <c r="C12" s="14" t="inlineStr">
        <is>
          <t>RQ-F11</t>
        </is>
      </c>
      <c r="D12" s="14" t="inlineStr">
        <is>
          <t>支持拓展阅读材料推荐或生成。</t>
        </is>
      </c>
      <c r="E12" s="14" t="inlineStr">
        <is>
          <t>必做/P0</t>
        </is>
      </c>
      <c r="F12" s="14" t="inlineStr">
        <is>
          <t>5.3 课程知识库；5.6 资源生成</t>
        </is>
      </c>
      <c r="G12" s="14" t="inlineStr">
        <is>
          <t>UC-02/UC-05</t>
        </is>
      </c>
      <c r="H12" s="14" t="inlineStr">
        <is>
          <t>FR-006/FR-008</t>
        </is>
      </c>
      <c r="I12" s="14" t="inlineStr">
        <is>
          <t>KnowledgeChunk、Resource</t>
        </is>
      </c>
      <c r="J12" s="14" t="inlineStr">
        <is>
          <t>完全覆盖</t>
        </is>
      </c>
      <c r="K12" s="14" t="inlineStr">
        <is>
          <t>RAG 引用和资源生成支持拓展阅读摘要与来源。</t>
        </is>
      </c>
      <c r="L12" s="14" t="inlineStr">
        <is>
          <t>补充参考文献来源清单。</t>
        </is>
      </c>
    </row>
    <row r="13" ht="58" customHeight="1">
      <c r="A13" s="14" t="inlineStr">
        <is>
          <t>12</t>
        </is>
      </c>
      <c r="B13" s="14" t="inlineStr">
        <is>
          <t>基本功能</t>
        </is>
      </c>
      <c r="C13" s="14" t="inlineStr">
        <is>
          <t>RQ-F12</t>
        </is>
      </c>
      <c r="D13" s="14" t="inlineStr">
        <is>
          <t>支持多模态教学视频或动画类学习材料。</t>
        </is>
      </c>
      <c r="E13" s="14" t="inlineStr">
        <is>
          <t>必做/P0</t>
        </is>
      </c>
      <c r="F13" s="14" t="inlineStr">
        <is>
          <t>5.6 资源生成；10.1 非功能；v1.2 补充章节</t>
        </is>
      </c>
      <c r="G13" s="14" t="inlineStr">
        <is>
          <t>UC-02</t>
        </is>
      </c>
      <c r="H13" s="14" t="inlineStr">
        <is>
          <t>FR-008</t>
        </is>
      </c>
      <c r="I13" s="14" t="inlineStr">
        <is>
          <t>Resource、NFR-003</t>
        </is>
      </c>
      <c r="J13" s="14" t="inlineStr">
        <is>
          <t>完全覆盖</t>
        </is>
      </c>
      <c r="K13" s="14" t="inlineStr">
        <is>
          <t>第 5.1 节已明确视频/动画类材料可播放形态、分镜脚本、关键帧、降级标记和质量要求。</t>
        </is>
      </c>
      <c r="L13" s="14" t="inlineStr">
        <is>
          <t>已补齐。</t>
        </is>
      </c>
    </row>
    <row r="14" ht="58" customHeight="1">
      <c r="A14" s="14" t="inlineStr">
        <is>
          <t>13</t>
        </is>
      </c>
      <c r="B14" s="14" t="inlineStr">
        <is>
          <t>基本功能</t>
        </is>
      </c>
      <c r="C14" s="14" t="inlineStr">
        <is>
          <t>RQ-F13</t>
        </is>
      </c>
      <c r="D14" s="14" t="inlineStr">
        <is>
          <t>支持代码类实操案例。</t>
        </is>
      </c>
      <c r="E14" s="14" t="inlineStr">
        <is>
          <t>必做/P0</t>
        </is>
      </c>
      <c r="F14" s="14" t="inlineStr">
        <is>
          <t>5.8 练习与代码反馈</t>
        </is>
      </c>
      <c r="G14" s="14" t="inlineStr">
        <is>
          <t>UC-04</t>
        </is>
      </c>
      <c r="H14" s="14" t="inlineStr">
        <is>
          <t>FR-011</t>
        </is>
      </c>
      <c r="I14" s="14" t="inlineStr">
        <is>
          <t>CodeRun、PracticeSubmission</t>
        </is>
      </c>
      <c r="J14" s="14" t="inlineStr">
        <is>
          <t>完全覆盖</t>
        </is>
      </c>
      <c r="K14" s="14" t="inlineStr">
        <is>
          <t>代码模板、实验步骤、调试提示和反馈被承接。</t>
        </is>
      </c>
      <c r="L14" s="14" t="inlineStr">
        <is>
          <t>补充沙箱或隔离运行方案。</t>
        </is>
      </c>
    </row>
    <row r="15" ht="58" customHeight="1">
      <c r="A15" s="14" t="inlineStr">
        <is>
          <t>14</t>
        </is>
      </c>
      <c r="B15" s="14" t="inlineStr">
        <is>
          <t>基本功能</t>
        </is>
      </c>
      <c r="C15" s="14" t="inlineStr">
        <is>
          <t>RQ-F14</t>
        </is>
      </c>
      <c r="D15" s="14" t="inlineStr">
        <is>
          <t>支持实践项目学习材料。</t>
        </is>
      </c>
      <c r="E15" s="14" t="inlineStr">
        <is>
          <t>必做/P0</t>
        </is>
      </c>
      <c r="F15" s="14" t="inlineStr">
        <is>
          <t>5.6 资源生成；5.8 练习反馈</t>
        </is>
      </c>
      <c r="G15" s="14" t="inlineStr">
        <is>
          <t>UC-02/UC-04</t>
        </is>
      </c>
      <c r="H15" s="14" t="inlineStr">
        <is>
          <t>FR-008/FR-011</t>
        </is>
      </c>
      <c r="I15" s="14" t="inlineStr">
        <is>
          <t>Resource、CodeRun</t>
        </is>
      </c>
      <c r="J15" s="14" t="inlineStr">
        <is>
          <t>完全覆盖</t>
        </is>
      </c>
      <c r="K15" s="14" t="inlineStr">
        <is>
          <t>项目目标、任务拆解、评价标准可作为资源模板实现。</t>
        </is>
      </c>
      <c r="L15" s="14" t="inlineStr">
        <is>
          <t>补充项目制资源样例。</t>
        </is>
      </c>
    </row>
    <row r="16" ht="58" customHeight="1">
      <c r="A16" s="14" t="inlineStr">
        <is>
          <t>15</t>
        </is>
      </c>
      <c r="B16" s="14" t="inlineStr">
        <is>
          <t>基本功能</t>
        </is>
      </c>
      <c r="C16" s="14" t="inlineStr">
        <is>
          <t>RQ-F15</t>
        </is>
      </c>
      <c r="D16" s="14" t="inlineStr">
        <is>
          <t>结合画像、知识库、学习进度、练习结果和反馈规划学习路径。</t>
        </is>
      </c>
      <c r="E16" s="14" t="inlineStr">
        <is>
          <t>必做/P0</t>
        </is>
      </c>
      <c r="F16" s="14" t="inlineStr">
        <is>
          <t>5.9 学习路径规划</t>
        </is>
      </c>
      <c r="G16" s="14" t="inlineStr">
        <is>
          <t>UC-03</t>
        </is>
      </c>
      <c r="H16" s="14" t="inlineStr">
        <is>
          <t>FR-012</t>
        </is>
      </c>
      <c r="I16" s="14" t="inlineStr">
        <is>
          <t>LearningPath</t>
        </is>
      </c>
      <c r="J16" s="14" t="inlineStr">
        <is>
          <t>完全覆盖</t>
        </is>
      </c>
      <c r="K16" s="14" t="inlineStr">
        <is>
          <t>路径规划的数据输入、阶段目标、顺序和条件均被定义。</t>
        </is>
      </c>
      <c r="L16" s="14" t="inlineStr">
        <is>
          <t>建立路径生成评测集。</t>
        </is>
      </c>
    </row>
    <row r="17" ht="58" customHeight="1">
      <c r="A17" s="14" t="inlineStr">
        <is>
          <t>16</t>
        </is>
      </c>
      <c r="B17" s="14" t="inlineStr">
        <is>
          <t>基本功能</t>
        </is>
      </c>
      <c r="C17" s="14" t="inlineStr">
        <is>
          <t>RQ-F16</t>
        </is>
      </c>
      <c r="D17" s="14" t="inlineStr">
        <is>
          <t>路径应根据掌握情况动态调整。</t>
        </is>
      </c>
      <c r="E17" s="14" t="inlineStr">
        <is>
          <t>必做/P0</t>
        </is>
      </c>
      <c r="F17" s="14" t="inlineStr">
        <is>
          <t>5.9 学习路径；5.10 学习效果评估</t>
        </is>
      </c>
      <c r="G17" s="14" t="inlineStr">
        <is>
          <t>UC-03/UC-06</t>
        </is>
      </c>
      <c r="H17" s="14" t="inlineStr">
        <is>
          <t>FR-012/FR-013</t>
        </is>
      </c>
      <c r="I17" s="14" t="inlineStr">
        <is>
          <t>LearningPath、Report</t>
        </is>
      </c>
      <c r="J17" s="14" t="inlineStr">
        <is>
          <t>完全覆盖</t>
        </is>
      </c>
      <c r="K17" s="14" t="inlineStr">
        <is>
          <t>评估结果可触发补先修、调难度和新增实操。</t>
        </is>
      </c>
      <c r="L17" s="14" t="inlineStr">
        <is>
          <t>验证不同掌握度分支。</t>
        </is>
      </c>
    </row>
    <row r="18" ht="58" customHeight="1">
      <c r="A18" s="14" t="inlineStr">
        <is>
          <t>17</t>
        </is>
      </c>
      <c r="B18" s="14" t="inlineStr">
        <is>
          <t>基本功能</t>
        </is>
      </c>
      <c r="C18" s="14" t="inlineStr">
        <is>
          <t>RQ-F17</t>
        </is>
      </c>
      <c r="D18" s="14" t="inlineStr">
        <is>
          <t>精准资源推送应覆盖文档、视频、题库、实操案例等。</t>
        </is>
      </c>
      <c r="E18" s="14" t="inlineStr">
        <is>
          <t>必做/P0</t>
        </is>
      </c>
      <c r="F18" s="14" t="inlineStr">
        <is>
          <t>5.6 资源生成；5.9 学习路径；v1.2 补充章节</t>
        </is>
      </c>
      <c r="G18" s="14" t="inlineStr">
        <is>
          <t>UC-02/UC-03</t>
        </is>
      </c>
      <c r="H18" s="14" t="inlineStr">
        <is>
          <t>FR-008/FR-012</t>
        </is>
      </c>
      <c r="I18" s="14" t="inlineStr">
        <is>
          <t>Resource、LearningPath</t>
        </is>
      </c>
      <c r="J18" s="14" t="inlineStr">
        <is>
          <t>完全覆盖</t>
        </is>
      </c>
      <c r="K18" s="14" t="inlineStr">
        <is>
          <t>第 5 章 FR-012 和第 5.1 节已要求资源推送覆盖文档、视频/动画、题库和实操案例。</t>
        </is>
      </c>
      <c r="L18" s="14" t="inlineStr">
        <is>
          <t>已补齐。</t>
        </is>
      </c>
    </row>
    <row r="19" ht="58" customHeight="1">
      <c r="A19" s="14" t="inlineStr">
        <is>
          <t>18</t>
        </is>
      </c>
      <c r="B19" s="14" t="inlineStr">
        <is>
          <t>加分功能</t>
        </is>
      </c>
      <c r="C19" s="14" t="inlineStr">
        <is>
          <t>RQ-F18</t>
        </is>
      </c>
      <c r="D19" s="14" t="inlineStr">
        <is>
          <t>提供即时智能辅导能力。</t>
        </is>
      </c>
      <c r="E19" s="14" t="inlineStr">
        <is>
          <t>加分/P1</t>
        </is>
      </c>
      <c r="F19" s="14" t="inlineStr">
        <is>
          <t>5.11 智能辅导问答</t>
        </is>
      </c>
      <c r="G19" s="14" t="inlineStr">
        <is>
          <t>UC-05</t>
        </is>
      </c>
      <c r="H19" s="14" t="inlineStr">
        <is>
          <t>FR-014</t>
        </is>
      </c>
      <c r="I19" s="14" t="inlineStr">
        <is>
          <t>ModelService、RetrievalSet</t>
        </is>
      </c>
      <c r="J19" s="14" t="inlineStr">
        <is>
          <t>完全覆盖</t>
        </is>
      </c>
      <c r="K19" s="14" t="inlineStr">
        <is>
          <t>辅导问答结合画像、知识库和当前上下文。</t>
        </is>
      </c>
      <c r="L19" s="14" t="inlineStr">
        <is>
          <t>准备多轮问答测试集。</t>
        </is>
      </c>
    </row>
    <row r="20" ht="58" customHeight="1">
      <c r="A20" s="14" t="inlineStr">
        <is>
          <t>19</t>
        </is>
      </c>
      <c r="B20" s="14" t="inlineStr">
        <is>
          <t>加分功能</t>
        </is>
      </c>
      <c r="C20" s="14" t="inlineStr">
        <is>
          <t>RQ-F19</t>
        </is>
      </c>
      <c r="D20" s="14" t="inlineStr">
        <is>
          <t>提供学习效果评估并优化学习方案。</t>
        </is>
      </c>
      <c r="E20" s="14" t="inlineStr">
        <is>
          <t>加分/P1</t>
        </is>
      </c>
      <c r="F20" s="14" t="inlineStr">
        <is>
          <t>5.10 学习效果评估</t>
        </is>
      </c>
      <c r="G20" s="14" t="inlineStr">
        <is>
          <t>UC-06</t>
        </is>
      </c>
      <c r="H20" s="14" t="inlineStr">
        <is>
          <t>FR-013</t>
        </is>
      </c>
      <c r="I20" s="14" t="inlineStr">
        <is>
          <t>Report、LearningPath</t>
        </is>
      </c>
      <c r="J20" s="14" t="inlineStr">
        <is>
          <t>完全覆盖</t>
        </is>
      </c>
      <c r="K20" s="14" t="inlineStr">
        <is>
          <t>行为、练习、反馈、掌握度和路径调整形成闭环。</t>
        </is>
      </c>
      <c r="L20" s="14" t="inlineStr">
        <is>
          <t>补充评估指标口径。</t>
        </is>
      </c>
    </row>
    <row r="21" ht="58" customHeight="1">
      <c r="A21" s="14" t="inlineStr">
        <is>
          <t>20</t>
        </is>
      </c>
      <c r="B21" s="14" t="inlineStr">
        <is>
          <t>非功能体验</t>
        </is>
      </c>
      <c r="C21" s="14" t="inlineStr">
        <is>
          <t>RQ-NF01</t>
        </is>
      </c>
      <c r="D21" s="14" t="inlineStr">
        <is>
          <t>界面美观简洁，交互清晰，符合现代 AI 产品规范。</t>
        </is>
      </c>
      <c r="E21" s="14" t="inlineStr">
        <is>
          <t>非功能/P0</t>
        </is>
      </c>
      <c r="F21" s="14" t="inlineStr">
        <is>
          <t>10.1 可用性；10.11 可访问性；v1.2 补充章节</t>
        </is>
      </c>
      <c r="G21" s="14" t="inlineStr">
        <is>
          <t>全部用户用例</t>
        </is>
      </c>
      <c r="H21" s="14" t="inlineStr">
        <is>
          <t>FR-001</t>
        </is>
      </c>
      <c r="I21" s="14" t="inlineStr">
        <is>
          <t>NFR-001/NFR-011</t>
        </is>
      </c>
      <c r="J21" s="14" t="inlineStr">
        <is>
          <t>完全覆盖</t>
        </is>
      </c>
      <c r="K21" s="14" t="inlineStr">
        <is>
          <t>第 6 章已补充页面范围、资源卡片、状态、可访问性和截图验收要求。</t>
        </is>
      </c>
      <c r="L21" s="14" t="inlineStr">
        <is>
          <t>已补齐。</t>
        </is>
      </c>
    </row>
    <row r="22" ht="58" customHeight="1">
      <c r="A22" s="14" t="inlineStr">
        <is>
          <t>21</t>
        </is>
      </c>
      <c r="B22" s="14" t="inlineStr">
        <is>
          <t>非功能体验</t>
        </is>
      </c>
      <c r="C22" s="14" t="inlineStr">
        <is>
          <t>RQ-NF02</t>
        </is>
      </c>
      <c r="D22" s="14" t="inlineStr">
        <is>
          <t>支持流式输出。</t>
        </is>
      </c>
      <c r="E22" s="14" t="inlineStr">
        <is>
          <t>非功能/P0</t>
        </is>
      </c>
      <c r="F22" s="14" t="inlineStr">
        <is>
          <t>10.3 性能；5.11 辅导问答；v1.2 补充章节</t>
        </is>
      </c>
      <c r="G22" s="14" t="inlineStr">
        <is>
          <t>UC-02/UC-05</t>
        </is>
      </c>
      <c r="H22" s="14" t="inlineStr">
        <is>
          <t>FR-014/FR-018</t>
        </is>
      </c>
      <c r="I22" s="14" t="inlineStr">
        <is>
          <t>NFR-003/NFR-009</t>
        </is>
      </c>
      <c r="J22" s="14" t="inlineStr">
        <is>
          <t>完全覆盖</t>
        </is>
      </c>
      <c r="K22" s="14" t="inlineStr">
        <is>
          <t>第 6.3 节已补充流式输出和超过 3 秒任务状态更新规则。</t>
        </is>
      </c>
      <c r="L22" s="14" t="inlineStr">
        <is>
          <t>已补齐。</t>
        </is>
      </c>
    </row>
    <row r="23" ht="58" customHeight="1">
      <c r="A23" s="14" t="inlineStr">
        <is>
          <t>22</t>
        </is>
      </c>
      <c r="B23" s="14" t="inlineStr">
        <is>
          <t>非功能体验</t>
        </is>
      </c>
      <c r="C23" s="14" t="inlineStr">
        <is>
          <t>RQ-NF03</t>
        </is>
      </c>
      <c r="D23" s="14" t="inlineStr">
        <is>
          <t>支持 Markdown 渲染。</t>
        </is>
      </c>
      <c r="E23" s="14" t="inlineStr">
        <is>
          <t>非功能/P0</t>
        </is>
      </c>
      <c r="F23" s="14" t="inlineStr">
        <is>
          <t>5.6 资源生成；5.11 辅导问答</t>
        </is>
      </c>
      <c r="G23" s="14" t="inlineStr">
        <is>
          <t>UC-02/UC-05</t>
        </is>
      </c>
      <c r="H23" s="14" t="inlineStr">
        <is>
          <t>FR-008/FR-014</t>
        </is>
      </c>
      <c r="I23" s="14" t="inlineStr">
        <is>
          <t>NFR-005</t>
        </is>
      </c>
      <c r="J23" s="14" t="inlineStr">
        <is>
          <t>完全覆盖</t>
        </is>
      </c>
      <c r="K23" s="14" t="inlineStr">
        <is>
          <t>学习资源和问答输出可按结构化内容渲染。</t>
        </is>
      </c>
      <c r="L23" s="14" t="inlineStr">
        <is>
          <t>前端测试中验证表格、代码块和引用。</t>
        </is>
      </c>
    </row>
    <row r="24" ht="58" customHeight="1">
      <c r="A24" s="14" t="inlineStr">
        <is>
          <t>23</t>
        </is>
      </c>
      <c r="B24" s="14" t="inlineStr">
        <is>
          <t>非功能体验</t>
        </is>
      </c>
      <c r="C24" s="14" t="inlineStr">
        <is>
          <t>RQ-NF04</t>
        </is>
      </c>
      <c r="D24" s="14" t="inlineStr">
        <is>
          <t>支持多模态内容卡片化展示。</t>
        </is>
      </c>
      <c r="E24" s="14" t="inlineStr">
        <is>
          <t>非功能/P0</t>
        </is>
      </c>
      <c r="F24" s="14" t="inlineStr">
        <is>
          <t>5.6 资源生成；10.1 可用性；v1.2 补充章节</t>
        </is>
      </c>
      <c r="G24" s="14" t="inlineStr">
        <is>
          <t>UC-02/UC-03</t>
        </is>
      </c>
      <c r="H24" s="14" t="inlineStr">
        <is>
          <t>FR-008/FR-012</t>
        </is>
      </c>
      <c r="I24" s="14" t="inlineStr">
        <is>
          <t>NFR-001</t>
        </is>
      </c>
      <c r="J24" s="14" t="inlineStr">
        <is>
          <t>完全覆盖</t>
        </is>
      </c>
      <c r="K24" s="14" t="inlineStr">
        <is>
          <t>第 6.2 节已补充多模态资源卡片字段、状态和操作入口。</t>
        </is>
      </c>
      <c r="L24" s="14" t="inlineStr">
        <is>
          <t>已补齐。</t>
        </is>
      </c>
    </row>
    <row r="25" ht="58" customHeight="1">
      <c r="A25" s="14" t="inlineStr">
        <is>
          <t>24</t>
        </is>
      </c>
      <c r="B25" s="14" t="inlineStr">
        <is>
          <t>非功能质量</t>
        </is>
      </c>
      <c r="C25" s="14" t="inlineStr">
        <is>
          <t>RQ-NF05</t>
        </is>
      </c>
      <c r="D25" s="14" t="inlineStr">
        <is>
          <t>系统稳定，无明显功能错误或界面错误。</t>
        </is>
      </c>
      <c r="E25" s="14" t="inlineStr">
        <is>
          <t>非功能/P0</t>
        </is>
      </c>
      <c r="F25" s="14" t="inlineStr">
        <is>
          <t>10.2 稳定性；11 验收规则</t>
        </is>
      </c>
      <c r="G25" s="14" t="inlineStr">
        <is>
          <t>全部核心用例</t>
        </is>
      </c>
      <c r="H25" s="14" t="inlineStr">
        <is>
          <t>FR-017/FR-018</t>
        </is>
      </c>
      <c r="I25" s="14" t="inlineStr">
        <is>
          <t>NFR-002/NFR-009</t>
        </is>
      </c>
      <c r="J25" s="14" t="inlineStr">
        <is>
          <t>完全覆盖</t>
        </is>
      </c>
      <c r="K25" s="14" t="inlineStr">
        <is>
          <t>重试、降级、监控和错误记录均有需求承接。</t>
        </is>
      </c>
      <c r="L25" s="14" t="inlineStr">
        <is>
          <t>用冒烟测试和稳定性测试闭环。</t>
        </is>
      </c>
    </row>
    <row r="26" ht="58" customHeight="1">
      <c r="A26" s="14" t="inlineStr">
        <is>
          <t>25</t>
        </is>
      </c>
      <c r="B26" s="14" t="inlineStr">
        <is>
          <t>非功能合规</t>
        </is>
      </c>
      <c r="C26" s="14" t="inlineStr">
        <is>
          <t>RQ-NF06</t>
        </is>
      </c>
      <c r="D26" s="14" t="inlineStr">
        <is>
          <t>开源项目、AI 工具或框架需标注名称、来源和协议。</t>
        </is>
      </c>
      <c r="E26" s="14" t="inlineStr">
        <is>
          <t>非功能/P0</t>
        </is>
      </c>
      <c r="F26" s="14" t="inlineStr">
        <is>
          <t>10.12 合规性；v1.2 补充章节</t>
        </is>
      </c>
      <c r="G26" s="14" t="inlineStr">
        <is>
          <t>UC-11</t>
        </is>
      </c>
      <c r="H26" s="14" t="inlineStr">
        <is>
          <t>FR-018</t>
        </is>
      </c>
      <c r="I26" s="14" t="inlineStr">
        <is>
          <t>NFR-012</t>
        </is>
      </c>
      <c r="J26" s="14" t="inlineStr">
        <is>
          <t>完全覆盖</t>
        </is>
      </c>
      <c r="K26" s="14" t="inlineStr">
        <is>
          <t>第 10.1 节已补充开源依赖、模型服务、AI 工具和课程资料来源清单。</t>
        </is>
      </c>
      <c r="L26" s="14" t="inlineStr">
        <is>
          <t>已补齐。</t>
        </is>
      </c>
    </row>
    <row r="27" ht="58" customHeight="1">
      <c r="A27" s="14" t="inlineStr">
        <is>
          <t>26</t>
        </is>
      </c>
      <c r="B27" s="14" t="inlineStr">
        <is>
          <t>非功能质量</t>
        </is>
      </c>
      <c r="C27" s="14" t="inlineStr">
        <is>
          <t>RQ-NF07</t>
        </is>
      </c>
      <c r="D27" s="14" t="inlineStr">
        <is>
          <t>具备防幻觉机制和内容安全过滤机制。</t>
        </is>
      </c>
      <c r="E27" s="14" t="inlineStr">
        <is>
          <t>非功能/P0</t>
        </is>
      </c>
      <c r="F27" s="14" t="inlineStr">
        <is>
          <t>5.7 质量审核；10.7 内容可信</t>
        </is>
      </c>
      <c r="G27" s="14" t="inlineStr">
        <is>
          <t>UC-02/UC-08/UC-05</t>
        </is>
      </c>
      <c r="H27" s="14" t="inlineStr">
        <is>
          <t>FR-009/FR-014</t>
        </is>
      </c>
      <c r="I27" s="14" t="inlineStr">
        <is>
          <t>NFR-007</t>
        </is>
      </c>
      <c r="J27" s="14" t="inlineStr">
        <is>
          <t>完全覆盖</t>
        </is>
      </c>
      <c r="K27" s="14" t="inlineStr">
        <is>
          <t>引用依据、风险标记、拒答和审核队列均被承接。</t>
        </is>
      </c>
      <c r="L27" s="14" t="inlineStr">
        <is>
          <t>准备幻觉诱导和安全过滤样例。</t>
        </is>
      </c>
    </row>
    <row r="28" ht="58" customHeight="1">
      <c r="A28" s="14" t="inlineStr">
        <is>
          <t>27</t>
        </is>
      </c>
      <c r="B28" s="14" t="inlineStr">
        <is>
          <t>非功能性能</t>
        </is>
      </c>
      <c r="C28" s="14" t="inlineStr">
        <is>
          <t>RQ-NF08</t>
        </is>
      </c>
      <c r="D28" s="14" t="inlineStr">
        <is>
          <t>智能体响应时间应控制在合理范围。</t>
        </is>
      </c>
      <c r="E28" s="14" t="inlineStr">
        <is>
          <t>非功能/P0</t>
        </is>
      </c>
      <c r="F28" s="14" t="inlineStr">
        <is>
          <t>10.3 性能</t>
        </is>
      </c>
      <c r="G28" s="14" t="inlineStr">
        <is>
          <t>UC-02/UC-05</t>
        </is>
      </c>
      <c r="H28" s="14" t="inlineStr">
        <is>
          <t>FR-017/FR-018</t>
        </is>
      </c>
      <c r="I28" s="14" t="inlineStr">
        <is>
          <t>NFR-003</t>
        </is>
      </c>
      <c r="J28" s="14" t="inlineStr">
        <is>
          <t>完全覆盖</t>
        </is>
      </c>
      <c r="K28" s="14" t="inlineStr">
        <is>
          <t>普通交互、长任务状态和降级策略被定义。</t>
        </is>
      </c>
      <c r="L28" s="14" t="inlineStr">
        <is>
          <t>性能测试中记录 P95 延迟。</t>
        </is>
      </c>
    </row>
    <row r="29" ht="58" customHeight="1">
      <c r="A29" s="14" t="inlineStr">
        <is>
          <t>28</t>
        </is>
      </c>
      <c r="B29" s="14" t="inlineStr">
        <is>
          <t>非功能体验</t>
        </is>
      </c>
      <c r="C29" s="14" t="inlineStr">
        <is>
          <t>RQ-NF09</t>
        </is>
      </c>
      <c r="D29" s="14" t="inlineStr">
        <is>
          <t>多模态生成应有进度追踪或流式呈现，避免长时间白屏。</t>
        </is>
      </c>
      <c r="E29" s="14" t="inlineStr">
        <is>
          <t>非功能/P0</t>
        </is>
      </c>
      <c r="F29" s="14" t="inlineStr">
        <is>
          <t>10.3 性能；10.9 可观测性；v1.2 补充章节</t>
        </is>
      </c>
      <c r="G29" s="14" t="inlineStr">
        <is>
          <t>UC-02/UC-11</t>
        </is>
      </c>
      <c r="H29" s="14" t="inlineStr">
        <is>
          <t>FR-017/FR-018</t>
        </is>
      </c>
      <c r="I29" s="14" t="inlineStr">
        <is>
          <t>NFR-003/NFR-009</t>
        </is>
      </c>
      <c r="J29" s="14" t="inlineStr">
        <is>
          <t>完全覆盖</t>
        </is>
      </c>
      <c r="K29" s="14" t="inlineStr">
        <is>
          <t>第 6.3 节和图 2 已补充任务状态机、进度追踪、失败重试和降级规则。</t>
        </is>
      </c>
      <c r="L29" s="14" t="inlineStr">
        <is>
          <t>已补齐。</t>
        </is>
      </c>
    </row>
    <row r="30" ht="58" customHeight="1">
      <c r="A30" s="14" t="inlineStr">
        <is>
          <t>29</t>
        </is>
      </c>
      <c r="B30" s="14" t="inlineStr">
        <is>
          <t>实现与数据</t>
        </is>
      </c>
      <c r="C30" s="14" t="inlineStr">
        <is>
          <t>RQ-D01</t>
        </is>
      </c>
      <c r="D30" s="14" t="inlineStr">
        <is>
          <t>开发环境不限，但需明确多智能体协同框架。</t>
        </is>
      </c>
      <c r="E30" s="14" t="inlineStr">
        <is>
          <t>实现/P0</t>
        </is>
      </c>
      <c r="F30" s="14" t="inlineStr">
        <is>
          <t>5.5 多 Agent 编排；10.10 可部署性；v1.2 补充章节</t>
        </is>
      </c>
      <c r="G30" s="14" t="inlineStr">
        <is>
          <t>UC-02/UC-09</t>
        </is>
      </c>
      <c r="H30" s="14" t="inlineStr">
        <is>
          <t>FR-007</t>
        </is>
      </c>
      <c r="I30" s="14" t="inlineStr">
        <is>
          <t>NFR-010</t>
        </is>
      </c>
      <c r="J30" s="14" t="inlineStr">
        <is>
          <t>完全覆盖</t>
        </is>
      </c>
      <c r="K30" s="14" t="inlineStr">
        <is>
          <t>第 8 章已明确任务编排器、Agent Contract、模型网关和证据日志协同框架。</t>
        </is>
      </c>
      <c r="L30" s="14" t="inlineStr">
        <is>
          <t>已补齐。</t>
        </is>
      </c>
    </row>
    <row r="31" ht="58" customHeight="1">
      <c r="A31" s="14" t="inlineStr">
        <is>
          <t>30</t>
        </is>
      </c>
      <c r="B31" s="14" t="inlineStr">
        <is>
          <t>实现与数据</t>
        </is>
      </c>
      <c r="C31" s="14" t="inlineStr">
        <is>
          <t>RQ-D02</t>
        </is>
      </c>
      <c r="D31" s="14" t="inlineStr">
        <is>
          <t>严格遵循开源协议及相关工具使用要求。</t>
        </is>
      </c>
      <c r="E31" s="14" t="inlineStr">
        <is>
          <t>实现/P0</t>
        </is>
      </c>
      <c r="F31" s="14" t="inlineStr">
        <is>
          <t>10.12 合规性；v1.2 补充章节</t>
        </is>
      </c>
      <c r="G31" s="14" t="inlineStr">
        <is>
          <t>UC-11</t>
        </is>
      </c>
      <c r="H31" s="14" t="inlineStr">
        <is>
          <t>FR-018</t>
        </is>
      </c>
      <c r="I31" s="14" t="inlineStr">
        <is>
          <t>NFR-012</t>
        </is>
      </c>
      <c r="J31" s="14" t="inlineStr">
        <is>
          <t>完全覆盖</t>
        </is>
      </c>
      <c r="K31" s="14" t="inlineStr">
        <is>
          <t>第 10.1 节和第 11 章已补充许可证、NOTICE、资料来源和合规验收要求。</t>
        </is>
      </c>
      <c r="L31" s="14" t="inlineStr">
        <is>
          <t>已补齐。</t>
        </is>
      </c>
    </row>
    <row r="32" ht="58" customHeight="1">
      <c r="A32" s="14" t="inlineStr">
        <is>
          <t>31</t>
        </is>
      </c>
      <c r="B32" s="14" t="inlineStr">
        <is>
          <t>实现与数据</t>
        </is>
      </c>
      <c r="C32" s="14" t="inlineStr">
        <is>
          <t>RQ-D03</t>
        </is>
      </c>
      <c r="D32" s="14" t="inlineStr">
        <is>
          <t>开发过程中使用的其他 AI 辅助工具需按赛题要求说明。</t>
        </is>
      </c>
      <c r="E32" s="14" t="inlineStr">
        <is>
          <t>实现/P0</t>
        </is>
      </c>
      <c r="F32" s="14" t="inlineStr">
        <is>
          <t>10.12 合规性；v1.2 补充章节</t>
        </is>
      </c>
      <c r="G32" s="14" t="inlineStr">
        <is>
          <t>UC-11</t>
        </is>
      </c>
      <c r="H32" s="14" t="inlineStr">
        <is>
          <t>FR-018</t>
        </is>
      </c>
      <c r="I32" s="14" t="inlineStr">
        <is>
          <t>NFR-012</t>
        </is>
      </c>
      <c r="J32" s="14" t="inlineStr">
        <is>
          <t>完全覆盖</t>
        </is>
      </c>
      <c r="K32" s="14" t="inlineStr">
        <is>
          <t>第 10.1 节和附录 A 已补充 AI Coding 工具说明的字段和交付边界。</t>
        </is>
      </c>
      <c r="L32" s="14" t="inlineStr">
        <is>
          <t>已补齐。</t>
        </is>
      </c>
    </row>
    <row r="33" ht="58" customHeight="1">
      <c r="A33" s="14" t="inlineStr">
        <is>
          <t>32</t>
        </is>
      </c>
      <c r="B33" s="14" t="inlineStr">
        <is>
          <t>实现与数据</t>
        </is>
      </c>
      <c r="C33" s="14" t="inlineStr">
        <is>
          <t>RQ-D04</t>
        </is>
      </c>
      <c r="D33" s="14" t="inlineStr">
        <is>
          <t>需构造至少一门完整高校专业课程初始知识库或文档集。</t>
        </is>
      </c>
      <c r="E33" s="14" t="inlineStr">
        <is>
          <t>实现/P0</t>
        </is>
      </c>
      <c r="F33" s="14" t="inlineStr">
        <is>
          <t>5.3 课程知识库</t>
        </is>
      </c>
      <c r="G33" s="14" t="inlineStr">
        <is>
          <t>UC-07</t>
        </is>
      </c>
      <c r="H33" s="14" t="inlineStr">
        <is>
          <t>FR-004</t>
        </is>
      </c>
      <c r="I33" s="14" t="inlineStr">
        <is>
          <t>KnowledgeChunk</t>
        </is>
      </c>
      <c r="J33" s="14" t="inlineStr">
        <is>
          <t>完全覆盖</t>
        </is>
      </c>
      <c r="K33" s="14" t="inlineStr">
        <is>
          <t>课程知识库的维护、导入、引用和版本化被定义。</t>
        </is>
      </c>
      <c r="L33" s="14" t="inlineStr">
        <is>
          <t>准备课程知识库目录和样例数据。</t>
        </is>
      </c>
    </row>
    <row r="34" ht="58" customHeight="1">
      <c r="A34" s="14" t="inlineStr">
        <is>
          <t>33</t>
        </is>
      </c>
      <c r="B34" s="14" t="inlineStr">
        <is>
          <t>实现与数据</t>
        </is>
      </c>
      <c r="C34" s="14" t="inlineStr">
        <is>
          <t>RQ-D05</t>
        </is>
      </c>
      <c r="D34" s="14" t="inlineStr">
        <is>
          <t>知识库建议覆盖大纲、章节、教材、练习、实验、参考文献等。</t>
        </is>
      </c>
      <c r="E34" s="14" t="inlineStr">
        <is>
          <t>实现/P0</t>
        </is>
      </c>
      <c r="F34" s="14" t="inlineStr">
        <is>
          <t>5.3 课程知识库；5.8 练习反馈；v1.2 补充章节</t>
        </is>
      </c>
      <c r="G34" s="14" t="inlineStr">
        <is>
          <t>UC-07/UC-04</t>
        </is>
      </c>
      <c r="H34" s="14" t="inlineStr">
        <is>
          <t>FR-004/FR-010/FR-011</t>
        </is>
      </c>
      <c r="I34" s="14" t="inlineStr">
        <is>
          <t>KnowledgeChunk、PracticeSubmission</t>
        </is>
      </c>
      <c r="J34" s="14" t="inlineStr">
        <is>
          <t>完全覆盖</t>
        </is>
      </c>
      <c r="K34" s="14" t="inlineStr">
        <is>
          <t>第 7.2 节已补充课程大纲、章节、教材、练习、实验、参考文献和多模态素材清单。</t>
        </is>
      </c>
      <c r="L34" s="14" t="inlineStr">
        <is>
          <t>已补齐。</t>
        </is>
      </c>
    </row>
    <row r="35" ht="58" customHeight="1">
      <c r="A35" s="14" t="inlineStr">
        <is>
          <t>34</t>
        </is>
      </c>
      <c r="B35" s="14" t="inlineStr">
        <is>
          <t>文档要求</t>
        </is>
      </c>
      <c r="C35" s="14" t="inlineStr">
        <is>
          <t>RQ-P01</t>
        </is>
      </c>
      <c r="D35" s="14" t="inlineStr">
        <is>
          <t>提交文档需参考软件系统标准文档规范。</t>
        </is>
      </c>
      <c r="E35" s="14" t="inlineStr">
        <is>
          <t>文档/P0</t>
        </is>
      </c>
      <c r="F35" s="14" t="inlineStr">
        <is>
          <t>本文档整体结构；v1.2 补充章节</t>
        </is>
      </c>
      <c r="G35" s="14" t="inlineStr">
        <is>
          <t>不适用</t>
        </is>
      </c>
      <c r="H35" s="14" t="inlineStr">
        <is>
          <t>需求规格说明书</t>
        </is>
      </c>
      <c r="I35" s="14" t="inlineStr">
        <is>
          <t>文档结构</t>
        </is>
      </c>
      <c r="J35" s="14" t="inlineStr">
        <is>
          <t>完全覆盖</t>
        </is>
      </c>
      <c r="K35" s="14" t="inlineStr">
        <is>
          <t>第 11.3 节已补充配套文档目录和版本维护要求。</t>
        </is>
      </c>
      <c r="L35" s="14" t="inlineStr">
        <is>
          <t>已补齐。</t>
        </is>
      </c>
    </row>
    <row r="36" ht="58" customHeight="1">
      <c r="A36" s="14" t="inlineStr">
        <is>
          <t>35</t>
        </is>
      </c>
      <c r="B36" s="14" t="inlineStr">
        <is>
          <t>文档要求</t>
        </is>
      </c>
      <c r="C36" s="14" t="inlineStr">
        <is>
          <t>RQ-P02</t>
        </is>
      </c>
      <c r="D36" s="14" t="inlineStr">
        <is>
          <t>需求层面需调研大学生学习需求和痛点。</t>
        </is>
      </c>
      <c r="E36" s="14" t="inlineStr">
        <is>
          <t>文档/P0</t>
        </is>
      </c>
      <c r="F36" s="14" t="inlineStr">
        <is>
          <t>2 背景与问题；4 业务目标；v1.2 补充章节</t>
        </is>
      </c>
      <c r="G36" s="14" t="inlineStr">
        <is>
          <t>不适用</t>
        </is>
      </c>
      <c r="H36" s="14" t="inlineStr">
        <is>
          <t>业务需求</t>
        </is>
      </c>
      <c r="I36" s="14" t="inlineStr">
        <is>
          <t>调研证据</t>
        </is>
      </c>
      <c r="J36" s="14" t="inlineStr">
        <is>
          <t>完全覆盖</t>
        </is>
      </c>
      <c r="K36" s="14" t="inlineStr">
        <is>
          <t>第 2.2 节已补充用户需求调研口径、痛点、承接方式和验证证据。</t>
        </is>
      </c>
      <c r="L36" s="14" t="inlineStr">
        <is>
          <t>已补齐。</t>
        </is>
      </c>
    </row>
    <row r="37" ht="58" customHeight="1">
      <c r="A37" s="14" t="inlineStr">
        <is>
          <t>36</t>
        </is>
      </c>
      <c r="B37" s="14" t="inlineStr">
        <is>
          <t>文档要求</t>
        </is>
      </c>
      <c r="C37" s="14" t="inlineStr">
        <is>
          <t>RQ-P03</t>
        </is>
      </c>
      <c r="D37" s="14" t="inlineStr">
        <is>
          <t>需明确技术与需求结合点。</t>
        </is>
      </c>
      <c r="E37" s="14" t="inlineStr">
        <is>
          <t>文档/P0</t>
        </is>
      </c>
      <c r="F37" s="14" t="inlineStr">
        <is>
          <t>5 功能需求；7 外部能力；10 非功能</t>
        </is>
      </c>
      <c r="G37" s="14" t="inlineStr">
        <is>
          <t>全部核心用例</t>
        </is>
      </c>
      <c r="H37" s="14" t="inlineStr">
        <is>
          <t>FR-002~FR-018</t>
        </is>
      </c>
      <c r="I37" s="14" t="inlineStr">
        <is>
          <t>NFR-003/NFR-007/NFR-012</t>
        </is>
      </c>
      <c r="J37" s="14" t="inlineStr">
        <is>
          <t>完全覆盖</t>
        </is>
      </c>
      <c r="K37" s="14" t="inlineStr">
        <is>
          <t>每类 AI 能力均对应业务需求和系统功能。</t>
        </is>
      </c>
      <c r="L37" s="14" t="inlineStr">
        <is>
          <t>后续开发文档补实现细节。</t>
        </is>
      </c>
    </row>
    <row r="38" ht="58" customHeight="1">
      <c r="A38" s="14" t="inlineStr">
        <is>
          <t>37</t>
        </is>
      </c>
      <c r="B38" s="14" t="inlineStr">
        <is>
          <t>文档要求</t>
        </is>
      </c>
      <c r="C38" s="14" t="inlineStr">
        <is>
          <t>RQ-P04</t>
        </is>
      </c>
      <c r="D38" s="14" t="inlineStr">
        <is>
          <t>需阐述智能体设计、开发、测试、部署全流程。</t>
        </is>
      </c>
      <c r="E38" s="14" t="inlineStr">
        <is>
          <t>文档/P0</t>
        </is>
      </c>
      <c r="F38" s="14" t="inlineStr">
        <is>
          <t>5.5 多 Agent 编排；11 验收规则；v1.2 补充章节</t>
        </is>
      </c>
      <c r="G38" s="14" t="inlineStr">
        <is>
          <t>UC-09/UC-10/UC-11</t>
        </is>
      </c>
      <c r="H38" s="14" t="inlineStr">
        <is>
          <t>FR-007/FR-016/FR-018</t>
        </is>
      </c>
      <c r="I38" s="14" t="inlineStr">
        <is>
          <t>NFR-010</t>
        </is>
      </c>
      <c r="J38" s="14" t="inlineStr">
        <is>
          <t>完全覆盖</t>
        </is>
      </c>
      <c r="K38" s="14" t="inlineStr">
        <is>
          <t>第 8 章和第 11.2 节已补充智能体设计、开发、测试、部署全流程要求。</t>
        </is>
      </c>
      <c r="L38" s="14" t="inlineStr">
        <is>
          <t>已补齐。</t>
        </is>
      </c>
    </row>
    <row r="39" ht="58" customHeight="1">
      <c r="A39" s="14" t="inlineStr">
        <is>
          <t>38</t>
        </is>
      </c>
      <c r="B39" s="14" t="inlineStr">
        <is>
          <t>文档要求</t>
        </is>
      </c>
      <c r="C39" s="14" t="inlineStr">
        <is>
          <t>RQ-P05</t>
        </is>
      </c>
      <c r="D39" s="14" t="inlineStr">
        <is>
          <t>文档需覆盖 UI 设计、功能实现、系统集成、性能与体验优化。</t>
        </is>
      </c>
      <c r="E39" s="14" t="inlineStr">
        <is>
          <t>文档/P0</t>
        </is>
      </c>
      <c r="F39" s="14" t="inlineStr">
        <is>
          <t>5 功能；7 接口；10 非功能；v1.2 补充章节</t>
        </is>
      </c>
      <c r="G39" s="14" t="inlineStr">
        <is>
          <t>全部核心用例</t>
        </is>
      </c>
      <c r="H39" s="14" t="inlineStr">
        <is>
          <t>FR-001~FR-018</t>
        </is>
      </c>
      <c r="I39" s="14" t="inlineStr">
        <is>
          <t>NFR-001/NFR-003/NFR-009</t>
        </is>
      </c>
      <c r="J39" s="14" t="inlineStr">
        <is>
          <t>完全覆盖</t>
        </is>
      </c>
      <c r="K39" s="14" t="inlineStr">
        <is>
          <t>第 6、9、10、11 章已补充 UI、功能实现、系统集成、性能和体验优化要求。</t>
        </is>
      </c>
      <c r="L39" s="14" t="inlineStr">
        <is>
          <t>已补齐。</t>
        </is>
      </c>
    </row>
    <row r="40" ht="58" customHeight="1">
      <c r="A40" s="14" t="inlineStr">
        <is>
          <t>39</t>
        </is>
      </c>
      <c r="B40" s="14" t="inlineStr">
        <is>
          <t>文档要求</t>
        </is>
      </c>
      <c r="C40" s="14" t="inlineStr">
        <is>
          <t>RQ-P06</t>
        </is>
      </c>
      <c r="D40" s="14" t="inlineStr">
        <is>
          <t>需说明前沿 AI 技术融合应用思路和实现方法。</t>
        </is>
      </c>
      <c r="E40" s="14" t="inlineStr">
        <is>
          <t>文档/P0</t>
        </is>
      </c>
      <c r="F40" s="14" t="inlineStr">
        <is>
          <t>5.5 多 Agent；5.7 防幻觉；7 外部能力；v1.2 补充章节</t>
        </is>
      </c>
      <c r="G40" s="14" t="inlineStr">
        <is>
          <t>UC-02/UC-05/UC-08</t>
        </is>
      </c>
      <c r="H40" s="14" t="inlineStr">
        <is>
          <t>FR-006/FR-007/FR-009/FR-014</t>
        </is>
      </c>
      <c r="I40" s="14" t="inlineStr">
        <is>
          <t>NFR-007</t>
        </is>
      </c>
      <c r="J40" s="14" t="inlineStr">
        <is>
          <t>完全覆盖</t>
        </is>
      </c>
      <c r="K40" s="14" t="inlineStr">
        <is>
          <t>第 8、9、11.1 节已补充模型、RAG、多 Agent 和多模态融合应用方法。</t>
        </is>
      </c>
      <c r="L40" s="14" t="inlineStr">
        <is>
          <t>已补齐。</t>
        </is>
      </c>
    </row>
    <row r="41" ht="58" customHeight="1">
      <c r="A41" s="14" t="inlineStr">
        <is>
          <t>40</t>
        </is>
      </c>
      <c r="B41" s="14" t="inlineStr">
        <is>
          <t>文档要求</t>
        </is>
      </c>
      <c r="C41" s="14" t="inlineStr">
        <is>
          <t>RQ-P07</t>
        </is>
      </c>
      <c r="D41" s="14" t="inlineStr">
        <is>
          <t>需指出创新实践和用户体验提升策略。</t>
        </is>
      </c>
      <c r="E41" s="14" t="inlineStr">
        <is>
          <t>文档/P1</t>
        </is>
      </c>
      <c r="F41" s="14" t="inlineStr">
        <is>
          <t>4 业务目标；10 非功能；v1.2 补充章节</t>
        </is>
      </c>
      <c r="G41" s="14" t="inlineStr">
        <is>
          <t>全部学生用例</t>
        </is>
      </c>
      <c r="H41" s="14" t="inlineStr">
        <is>
          <t>FR-001~FR-014</t>
        </is>
      </c>
      <c r="I41" s="14" t="inlineStr">
        <is>
          <t>NFR-001/NFR-011</t>
        </is>
      </c>
      <c r="J41" s="14" t="inlineStr">
        <is>
          <t>完全覆盖</t>
        </is>
      </c>
      <c r="K41" s="14" t="inlineStr">
        <is>
          <t>第 13 章已补充创新实践、用户价值和可验证指标。</t>
        </is>
      </c>
      <c r="L41" s="14" t="inlineStr">
        <is>
          <t>已补齐。</t>
        </is>
      </c>
    </row>
    <row r="42" ht="58" customHeight="1">
      <c r="A42" s="14" t="inlineStr">
        <is>
          <t>41</t>
        </is>
      </c>
      <c r="B42" s="14" t="inlineStr">
        <is>
          <t>文档要求</t>
        </is>
      </c>
      <c r="C42" s="14" t="inlineStr">
        <is>
          <t>RQ-P08</t>
        </is>
      </c>
      <c r="D42" s="14" t="inlineStr">
        <is>
          <t>建议使用图表、流程图、架构图增强可读性。</t>
        </is>
      </c>
      <c r="E42" s="14" t="inlineStr">
        <is>
          <t>文档/P1</t>
        </is>
      </c>
      <c r="F42" s="14" t="inlineStr">
        <is>
          <t>3.3 用例图；v1.2 补充章节</t>
        </is>
      </c>
      <c r="G42" s="14" t="inlineStr">
        <is>
          <t>全部核心用例</t>
        </is>
      </c>
      <c r="H42" s="14" t="inlineStr">
        <is>
          <t>用例图</t>
        </is>
      </c>
      <c r="I42" s="14" t="inlineStr">
        <is>
          <t>图表资产</t>
        </is>
      </c>
      <c r="J42" s="14" t="inlineStr">
        <is>
          <t>完全覆盖</t>
        </is>
      </c>
      <c r="K42" s="14" t="inlineStr">
        <is>
          <t>第 4、6、8 章已补充用例图、架构图、闭环流程图和任务状态机。</t>
        </is>
      </c>
      <c r="L42" s="14" t="inlineStr">
        <is>
          <t>已补齐。</t>
        </is>
      </c>
    </row>
    <row r="43" ht="58" customHeight="1">
      <c r="A43" s="14" t="inlineStr">
        <is>
          <t>42</t>
        </is>
      </c>
      <c r="B43" s="14" t="inlineStr">
        <is>
          <t>提交材料</t>
        </is>
      </c>
      <c r="C43" s="14" t="inlineStr">
        <is>
          <t>RQ-S01</t>
        </is>
      </c>
      <c r="D43" s="14" t="inlineStr">
        <is>
          <t>提交 PPT，覆盖应用价值、技术路线、创新点和核心功能。</t>
        </is>
      </c>
      <c r="E43" s="14" t="inlineStr">
        <is>
          <t>交付/P0</t>
        </is>
      </c>
      <c r="F43" s="14" t="inlineStr">
        <is>
          <t>不进入系统功能需求</t>
        </is>
      </c>
      <c r="G43" s="14" t="inlineStr">
        <is>
          <t>不适用</t>
        </is>
      </c>
      <c r="H43" s="14" t="inlineStr">
        <is>
          <t>不适用</t>
        </is>
      </c>
      <c r="I43" s="14" t="inlineStr">
        <is>
          <t>提交物清单</t>
        </is>
      </c>
      <c r="J43" s="14" t="inlineStr">
        <is>
          <t>文档外交付</t>
        </is>
      </c>
      <c r="K43" s="14" t="inlineStr">
        <is>
          <t>这是比赛提交材料，不应写成系统用户功能。</t>
        </is>
      </c>
      <c r="L43" s="14" t="inlineStr">
        <is>
          <t>在交付清单中单独跟踪。</t>
        </is>
      </c>
    </row>
    <row r="44" ht="58" customHeight="1">
      <c r="A44" s="14" t="inlineStr">
        <is>
          <t>43</t>
        </is>
      </c>
      <c r="B44" s="14" t="inlineStr">
        <is>
          <t>提交材料</t>
        </is>
      </c>
      <c r="C44" s="14" t="inlineStr">
        <is>
          <t>RQ-S02</t>
        </is>
      </c>
      <c r="D44" s="14" t="inlineStr">
        <is>
          <t>提交项目源码、数据集、模型部署配置等可运行文件。</t>
        </is>
      </c>
      <c r="E44" s="14" t="inlineStr">
        <is>
          <t>交付/P0</t>
        </is>
      </c>
      <c r="F44" s="14" t="inlineStr">
        <is>
          <t>不进入系统功能需求</t>
        </is>
      </c>
      <c r="G44" s="14" t="inlineStr">
        <is>
          <t>不适用</t>
        </is>
      </c>
      <c r="H44" s="14" t="inlineStr">
        <is>
          <t>不适用</t>
        </is>
      </c>
      <c r="I44" s="14" t="inlineStr">
        <is>
          <t>提交物清单</t>
        </is>
      </c>
      <c r="J44" s="14" t="inlineStr">
        <is>
          <t>文档外交付</t>
        </is>
      </c>
      <c r="K44" s="14" t="inlineStr">
        <is>
          <t>这是工程交付物，不是产品功能。</t>
        </is>
      </c>
      <c r="L44" s="14" t="inlineStr">
        <is>
          <t>建立 release 包核对清单。</t>
        </is>
      </c>
    </row>
    <row r="45" ht="58" customHeight="1">
      <c r="A45" s="14" t="inlineStr">
        <is>
          <t>44</t>
        </is>
      </c>
      <c r="B45" s="14" t="inlineStr">
        <is>
          <t>提交材料</t>
        </is>
      </c>
      <c r="C45" s="14" t="inlineStr">
        <is>
          <t>RQ-S03</t>
        </is>
      </c>
      <c r="D45" s="14" t="inlineStr">
        <is>
          <t>提交 7 分钟以内说明视频，体现核心操作流程和多模态生成效果。</t>
        </is>
      </c>
      <c r="E45" s="14" t="inlineStr">
        <is>
          <t>交付/P0</t>
        </is>
      </c>
      <c r="F45" s="14" t="inlineStr">
        <is>
          <t>不进入系统功能需求</t>
        </is>
      </c>
      <c r="G45" s="14" t="inlineStr">
        <is>
          <t>不适用</t>
        </is>
      </c>
      <c r="H45" s="14" t="inlineStr">
        <is>
          <t>不适用</t>
        </is>
      </c>
      <c r="I45" s="14" t="inlineStr">
        <is>
          <t>提交物清单</t>
        </is>
      </c>
      <c r="J45" s="14" t="inlineStr">
        <is>
          <t>文档外交付</t>
        </is>
      </c>
      <c r="K45" s="14" t="inlineStr">
        <is>
          <t>这是提交材料，不引入任何额外系统角色。</t>
        </is>
      </c>
      <c r="L45" s="14" t="inlineStr">
        <is>
          <t>在交付清单中跟踪视频素材。</t>
        </is>
      </c>
    </row>
    <row r="46" ht="58" customHeight="1">
      <c r="A46" s="14" t="inlineStr">
        <is>
          <t>45</t>
        </is>
      </c>
      <c r="B46" s="14" t="inlineStr">
        <is>
          <t>提交材料</t>
        </is>
      </c>
      <c r="C46" s="14" t="inlineStr">
        <is>
          <t>RQ-S04</t>
        </is>
      </c>
      <c r="D46" s="14" t="inlineStr">
        <is>
          <t>提交 AI Coding 工具说明。</t>
        </is>
      </c>
      <c r="E46" s="14" t="inlineStr">
        <is>
          <t>交付/P0</t>
        </is>
      </c>
      <c r="F46" s="14" t="inlineStr">
        <is>
          <t>10.12 合规性</t>
        </is>
      </c>
      <c r="G46" s="14" t="inlineStr">
        <is>
          <t>不适用</t>
        </is>
      </c>
      <c r="H46" s="14" t="inlineStr">
        <is>
          <t>不适用</t>
        </is>
      </c>
      <c r="I46" s="14" t="inlineStr">
        <is>
          <t>NFR-012</t>
        </is>
      </c>
      <c r="J46" s="14" t="inlineStr">
        <is>
          <t>文档外交付</t>
        </is>
      </c>
      <c r="K46" s="14" t="inlineStr">
        <is>
          <t>合规要求已纳入 SRS；具体说明属于交付文档。</t>
        </is>
      </c>
      <c r="L46" s="14" t="inlineStr">
        <is>
          <t>单独生成 AI 工具说明文件。</t>
        </is>
      </c>
    </row>
  </sheetData>
  <autoFilter ref="A1:L46"/>
  <conditionalFormatting sqref="J2:J46">
    <cfRule type="expression" priority="1" dxfId="0">
      <formula>$J2="完全覆盖"</formula>
    </cfRule>
    <cfRule type="expression" priority="2" dxfId="1">
      <formula>$J2="部分覆盖"</formula>
    </cfRule>
    <cfRule type="expression" priority="3" dxfId="2">
      <formula>$J2="需补充"</formula>
    </cfRule>
    <cfRule type="expression" priority="4" dxfId="3">
      <formula>$J2="文档外交付"</formula>
    </cfRule>
  </conditionalFormatting>
  <dataValidations count="1">
    <dataValidation sqref="J2:J46" showDropDown="0" showInputMessage="0" showErrorMessage="0" allowBlank="0" type="list">
      <formula1>"完全覆盖,部分覆盖,需补充,文档外交付"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58" customWidth="1" min="4" max="4"/>
    <col width="16" customWidth="1" min="5" max="5"/>
    <col width="12" customWidth="1" min="6" max="6"/>
    <col width="12" customWidth="1" min="7" max="7"/>
  </cols>
  <sheetData>
    <row r="1">
      <c r="A1" s="5" t="inlineStr">
        <is>
          <t>缺口编号</t>
        </is>
      </c>
      <c r="B1" s="5" t="inlineStr">
        <is>
          <t>关联要求</t>
        </is>
      </c>
      <c r="C1" s="5" t="inlineStr">
        <is>
          <t>原缺口摘要</t>
        </is>
      </c>
      <c r="D1" s="5" t="inlineStr">
        <is>
          <t>v1.2 关闭证据</t>
        </is>
      </c>
      <c r="E1" s="5" t="inlineStr">
        <is>
          <t>关闭动作</t>
        </is>
      </c>
      <c r="F1" s="5" t="inlineStr">
        <is>
          <t>优先级</t>
        </is>
      </c>
      <c r="G1" s="5" t="inlineStr">
        <is>
          <t>状态</t>
        </is>
      </c>
    </row>
    <row r="2" ht="60" customHeight="1">
      <c r="A2" s="14" t="inlineStr">
        <is>
          <t>GAP-001</t>
        </is>
      </c>
      <c r="B2" s="14" t="inlineStr">
        <is>
          <t>RQ-F12</t>
        </is>
      </c>
      <c r="C2" s="14" t="inlineStr">
        <is>
          <t>v1.0 矩阵标记为部分覆盖。</t>
        </is>
      </c>
      <c r="D2" s="14" t="inlineStr">
        <is>
          <t>第 5.1 节已明确视频/动画类材料可播放形态、分镜脚本、关键帧、降级标记和质量要求。</t>
        </is>
      </c>
      <c r="E2" s="14" t="inlineStr">
        <is>
          <t>已补齐。</t>
        </is>
      </c>
      <c r="F2" s="14" t="inlineStr">
        <is>
          <t>P0/P1</t>
        </is>
      </c>
      <c r="G2" s="14" t="inlineStr">
        <is>
          <t>已关闭</t>
        </is>
      </c>
    </row>
    <row r="3" ht="60" customHeight="1">
      <c r="A3" s="14" t="inlineStr">
        <is>
          <t>GAP-002</t>
        </is>
      </c>
      <c r="B3" s="14" t="inlineStr">
        <is>
          <t>RQ-F17</t>
        </is>
      </c>
      <c r="C3" s="14" t="inlineStr">
        <is>
          <t>v1.0 矩阵标记为部分覆盖。</t>
        </is>
      </c>
      <c r="D3" s="14" t="inlineStr">
        <is>
          <t>第 5 章 FR-012 和第 5.1 节已要求资源推送覆盖文档、视频/动画、题库和实操案例。</t>
        </is>
      </c>
      <c r="E3" s="14" t="inlineStr">
        <is>
          <t>已补齐。</t>
        </is>
      </c>
      <c r="F3" s="14" t="inlineStr">
        <is>
          <t>P0/P1</t>
        </is>
      </c>
      <c r="G3" s="14" t="inlineStr">
        <is>
          <t>已关闭</t>
        </is>
      </c>
    </row>
    <row r="4" ht="60" customHeight="1">
      <c r="A4" s="14" t="inlineStr">
        <is>
          <t>GAP-003</t>
        </is>
      </c>
      <c r="B4" s="14" t="inlineStr">
        <is>
          <t>RQ-NF01</t>
        </is>
      </c>
      <c r="C4" s="14" t="inlineStr">
        <is>
          <t>v1.0 矩阵标记为部分覆盖。</t>
        </is>
      </c>
      <c r="D4" s="14" t="inlineStr">
        <is>
          <t>第 6 章已补充页面范围、资源卡片、状态、可访问性和截图验收要求。</t>
        </is>
      </c>
      <c r="E4" s="14" t="inlineStr">
        <is>
          <t>已补齐。</t>
        </is>
      </c>
      <c r="F4" s="14" t="inlineStr">
        <is>
          <t>P0/P1</t>
        </is>
      </c>
      <c r="G4" s="14" t="inlineStr">
        <is>
          <t>已关闭</t>
        </is>
      </c>
    </row>
    <row r="5" ht="60" customHeight="1">
      <c r="A5" s="14" t="inlineStr">
        <is>
          <t>GAP-004</t>
        </is>
      </c>
      <c r="B5" s="14" t="inlineStr">
        <is>
          <t>RQ-NF02</t>
        </is>
      </c>
      <c r="C5" s="14" t="inlineStr">
        <is>
          <t>v1.0 矩阵标记为部分覆盖。</t>
        </is>
      </c>
      <c r="D5" s="14" t="inlineStr">
        <is>
          <t>第 6.3 节已补充流式输出和超过 3 秒任务状态更新规则。</t>
        </is>
      </c>
      <c r="E5" s="14" t="inlineStr">
        <is>
          <t>已补齐。</t>
        </is>
      </c>
      <c r="F5" s="14" t="inlineStr">
        <is>
          <t>P0/P1</t>
        </is>
      </c>
      <c r="G5" s="14" t="inlineStr">
        <is>
          <t>已关闭</t>
        </is>
      </c>
    </row>
    <row r="6" ht="60" customHeight="1">
      <c r="A6" s="14" t="inlineStr">
        <is>
          <t>GAP-005</t>
        </is>
      </c>
      <c r="B6" s="14" t="inlineStr">
        <is>
          <t>RQ-NF04</t>
        </is>
      </c>
      <c r="C6" s="14" t="inlineStr">
        <is>
          <t>v1.0 矩阵标记为部分覆盖。</t>
        </is>
      </c>
      <c r="D6" s="14" t="inlineStr">
        <is>
          <t>第 6.2 节已补充多模态资源卡片字段、状态和操作入口。</t>
        </is>
      </c>
      <c r="E6" s="14" t="inlineStr">
        <is>
          <t>已补齐。</t>
        </is>
      </c>
      <c r="F6" s="14" t="inlineStr">
        <is>
          <t>P0/P1</t>
        </is>
      </c>
      <c r="G6" s="14" t="inlineStr">
        <is>
          <t>已关闭</t>
        </is>
      </c>
    </row>
    <row r="7" ht="60" customHeight="1">
      <c r="A7" s="14" t="inlineStr">
        <is>
          <t>GAP-006</t>
        </is>
      </c>
      <c r="B7" s="14" t="inlineStr">
        <is>
          <t>RQ-NF06</t>
        </is>
      </c>
      <c r="C7" s="14" t="inlineStr">
        <is>
          <t>v1.0 矩阵标记为部分覆盖。</t>
        </is>
      </c>
      <c r="D7" s="14" t="inlineStr">
        <is>
          <t>第 10.1 节已补充开源依赖、模型服务、AI 工具和课程资料来源清单。</t>
        </is>
      </c>
      <c r="E7" s="14" t="inlineStr">
        <is>
          <t>已补齐。</t>
        </is>
      </c>
      <c r="F7" s="14" t="inlineStr">
        <is>
          <t>P0/P1</t>
        </is>
      </c>
      <c r="G7" s="14" t="inlineStr">
        <is>
          <t>已关闭</t>
        </is>
      </c>
    </row>
    <row r="8" ht="60" customHeight="1">
      <c r="A8" s="14" t="inlineStr">
        <is>
          <t>GAP-007</t>
        </is>
      </c>
      <c r="B8" s="14" t="inlineStr">
        <is>
          <t>RQ-NF09</t>
        </is>
      </c>
      <c r="C8" s="14" t="inlineStr">
        <is>
          <t>v1.0 矩阵标记为部分覆盖。</t>
        </is>
      </c>
      <c r="D8" s="14" t="inlineStr">
        <is>
          <t>第 6.3 节和图 2 已补充任务状态机、进度追踪、失败重试和降级规则。</t>
        </is>
      </c>
      <c r="E8" s="14" t="inlineStr">
        <is>
          <t>已补齐。</t>
        </is>
      </c>
      <c r="F8" s="14" t="inlineStr">
        <is>
          <t>P0/P1</t>
        </is>
      </c>
      <c r="G8" s="14" t="inlineStr">
        <is>
          <t>已关闭</t>
        </is>
      </c>
    </row>
    <row r="9" ht="60" customHeight="1">
      <c r="A9" s="14" t="inlineStr">
        <is>
          <t>GAP-008</t>
        </is>
      </c>
      <c r="B9" s="14" t="inlineStr">
        <is>
          <t>RQ-D01</t>
        </is>
      </c>
      <c r="C9" s="14" t="inlineStr">
        <is>
          <t>v1.0 矩阵标记为部分覆盖。</t>
        </is>
      </c>
      <c r="D9" s="14" t="inlineStr">
        <is>
          <t>第 8 章已明确任务编排器、Agent Contract、模型网关和证据日志协同框架。</t>
        </is>
      </c>
      <c r="E9" s="14" t="inlineStr">
        <is>
          <t>已补齐。</t>
        </is>
      </c>
      <c r="F9" s="14" t="inlineStr">
        <is>
          <t>P0/P1</t>
        </is>
      </c>
      <c r="G9" s="14" t="inlineStr">
        <is>
          <t>已关闭</t>
        </is>
      </c>
    </row>
    <row r="10" ht="60" customHeight="1">
      <c r="A10" s="14" t="inlineStr">
        <is>
          <t>GAP-009</t>
        </is>
      </c>
      <c r="B10" s="14" t="inlineStr">
        <is>
          <t>RQ-D02</t>
        </is>
      </c>
      <c r="C10" s="14" t="inlineStr">
        <is>
          <t>v1.0 矩阵标记为部分覆盖。</t>
        </is>
      </c>
      <c r="D10" s="14" t="inlineStr">
        <is>
          <t>第 10.1 节和第 11 章已补充许可证、NOTICE、资料来源和合规验收要求。</t>
        </is>
      </c>
      <c r="E10" s="14" t="inlineStr">
        <is>
          <t>已补齐。</t>
        </is>
      </c>
      <c r="F10" s="14" t="inlineStr">
        <is>
          <t>P0/P1</t>
        </is>
      </c>
      <c r="G10" s="14" t="inlineStr">
        <is>
          <t>已关闭</t>
        </is>
      </c>
    </row>
    <row r="11" ht="60" customHeight="1">
      <c r="A11" s="14" t="inlineStr">
        <is>
          <t>GAP-010</t>
        </is>
      </c>
      <c r="B11" s="14" t="inlineStr">
        <is>
          <t>RQ-D03</t>
        </is>
      </c>
      <c r="C11" s="14" t="inlineStr">
        <is>
          <t>v1.0 矩阵标记为部分覆盖。</t>
        </is>
      </c>
      <c r="D11" s="14" t="inlineStr">
        <is>
          <t>第 10.1 节和附录 A 已补充 AI Coding 工具说明的字段和交付边界。</t>
        </is>
      </c>
      <c r="E11" s="14" t="inlineStr">
        <is>
          <t>已补齐。</t>
        </is>
      </c>
      <c r="F11" s="14" t="inlineStr">
        <is>
          <t>P0/P1</t>
        </is>
      </c>
      <c r="G11" s="14" t="inlineStr">
        <is>
          <t>已关闭</t>
        </is>
      </c>
    </row>
    <row r="12" ht="60" customHeight="1">
      <c r="A12" s="14" t="inlineStr">
        <is>
          <t>GAP-011</t>
        </is>
      </c>
      <c r="B12" s="14" t="inlineStr">
        <is>
          <t>RQ-D05</t>
        </is>
      </c>
      <c r="C12" s="14" t="inlineStr">
        <is>
          <t>v1.0 矩阵标记为部分覆盖。</t>
        </is>
      </c>
      <c r="D12" s="14" t="inlineStr">
        <is>
          <t>第 7.2 节已补充课程大纲、章节、教材、练习、实验、参考文献和多模态素材清单。</t>
        </is>
      </c>
      <c r="E12" s="14" t="inlineStr">
        <is>
          <t>已补齐。</t>
        </is>
      </c>
      <c r="F12" s="14" t="inlineStr">
        <is>
          <t>P0/P1</t>
        </is>
      </c>
      <c r="G12" s="14" t="inlineStr">
        <is>
          <t>已关闭</t>
        </is>
      </c>
    </row>
    <row r="13" ht="60" customHeight="1">
      <c r="A13" s="14" t="inlineStr">
        <is>
          <t>GAP-012</t>
        </is>
      </c>
      <c r="B13" s="14" t="inlineStr">
        <is>
          <t>RQ-P01</t>
        </is>
      </c>
      <c r="C13" s="14" t="inlineStr">
        <is>
          <t>v1.0 矩阵标记为部分覆盖。</t>
        </is>
      </c>
      <c r="D13" s="14" t="inlineStr">
        <is>
          <t>第 11.3 节已补充配套文档目录和版本维护要求。</t>
        </is>
      </c>
      <c r="E13" s="14" t="inlineStr">
        <is>
          <t>已补齐。</t>
        </is>
      </c>
      <c r="F13" s="14" t="inlineStr">
        <is>
          <t>P0/P1</t>
        </is>
      </c>
      <c r="G13" s="14" t="inlineStr">
        <is>
          <t>已关闭</t>
        </is>
      </c>
    </row>
    <row r="14" ht="60" customHeight="1">
      <c r="A14" s="14" t="inlineStr">
        <is>
          <t>GAP-013</t>
        </is>
      </c>
      <c r="B14" s="14" t="inlineStr">
        <is>
          <t>RQ-P02</t>
        </is>
      </c>
      <c r="C14" s="14" t="inlineStr">
        <is>
          <t>v1.0 矩阵标记为部分覆盖。</t>
        </is>
      </c>
      <c r="D14" s="14" t="inlineStr">
        <is>
          <t>第 2.2 节已补充用户需求调研口径、痛点、承接方式和验证证据。</t>
        </is>
      </c>
      <c r="E14" s="14" t="inlineStr">
        <is>
          <t>已补齐。</t>
        </is>
      </c>
      <c r="F14" s="14" t="inlineStr">
        <is>
          <t>P0/P1</t>
        </is>
      </c>
      <c r="G14" s="14" t="inlineStr">
        <is>
          <t>已关闭</t>
        </is>
      </c>
    </row>
    <row r="15" ht="60" customHeight="1">
      <c r="A15" s="14" t="inlineStr">
        <is>
          <t>GAP-014</t>
        </is>
      </c>
      <c r="B15" s="14" t="inlineStr">
        <is>
          <t>RQ-P04</t>
        </is>
      </c>
      <c r="C15" s="14" t="inlineStr">
        <is>
          <t>v1.0 矩阵标记为部分覆盖。</t>
        </is>
      </c>
      <c r="D15" s="14" t="inlineStr">
        <is>
          <t>第 8 章和第 11.2 节已补充智能体设计、开发、测试、部署全流程要求。</t>
        </is>
      </c>
      <c r="E15" s="14" t="inlineStr">
        <is>
          <t>已补齐。</t>
        </is>
      </c>
      <c r="F15" s="14" t="inlineStr">
        <is>
          <t>P0/P1</t>
        </is>
      </c>
      <c r="G15" s="14" t="inlineStr">
        <is>
          <t>已关闭</t>
        </is>
      </c>
    </row>
    <row r="16" ht="60" customHeight="1">
      <c r="A16" s="14" t="inlineStr">
        <is>
          <t>GAP-015</t>
        </is>
      </c>
      <c r="B16" s="14" t="inlineStr">
        <is>
          <t>RQ-P05</t>
        </is>
      </c>
      <c r="C16" s="14" t="inlineStr">
        <is>
          <t>v1.0 矩阵标记为部分覆盖。</t>
        </is>
      </c>
      <c r="D16" s="14" t="inlineStr">
        <is>
          <t>第 6、9、10、11 章已补充 UI、功能实现、系统集成、性能和体验优化要求。</t>
        </is>
      </c>
      <c r="E16" s="14" t="inlineStr">
        <is>
          <t>已补齐。</t>
        </is>
      </c>
      <c r="F16" s="14" t="inlineStr">
        <is>
          <t>P0/P1</t>
        </is>
      </c>
      <c r="G16" s="14" t="inlineStr">
        <is>
          <t>已关闭</t>
        </is>
      </c>
    </row>
    <row r="17" ht="60" customHeight="1">
      <c r="A17" s="14" t="inlineStr">
        <is>
          <t>GAP-016</t>
        </is>
      </c>
      <c r="B17" s="14" t="inlineStr">
        <is>
          <t>RQ-P06</t>
        </is>
      </c>
      <c r="C17" s="14" t="inlineStr">
        <is>
          <t>v1.0 矩阵标记为部分覆盖。</t>
        </is>
      </c>
      <c r="D17" s="14" t="inlineStr">
        <is>
          <t>第 8、9、11.1 节已补充模型、RAG、多 Agent 和多模态融合应用方法。</t>
        </is>
      </c>
      <c r="E17" s="14" t="inlineStr">
        <is>
          <t>已补齐。</t>
        </is>
      </c>
      <c r="F17" s="14" t="inlineStr">
        <is>
          <t>P0/P1</t>
        </is>
      </c>
      <c r="G17" s="14" t="inlineStr">
        <is>
          <t>已关闭</t>
        </is>
      </c>
    </row>
    <row r="18" ht="60" customHeight="1">
      <c r="A18" s="14" t="inlineStr">
        <is>
          <t>GAP-017</t>
        </is>
      </c>
      <c r="B18" s="14" t="inlineStr">
        <is>
          <t>RQ-P07</t>
        </is>
      </c>
      <c r="C18" s="14" t="inlineStr">
        <is>
          <t>v1.0 矩阵标记为部分覆盖。</t>
        </is>
      </c>
      <c r="D18" s="14" t="inlineStr">
        <is>
          <t>第 13 章已补充创新实践、用户价值和可验证指标。</t>
        </is>
      </c>
      <c r="E18" s="14" t="inlineStr">
        <is>
          <t>已补齐。</t>
        </is>
      </c>
      <c r="F18" s="14" t="inlineStr">
        <is>
          <t>P0/P1</t>
        </is>
      </c>
      <c r="G18" s="14" t="inlineStr">
        <is>
          <t>已关闭</t>
        </is>
      </c>
    </row>
    <row r="19" ht="60" customHeight="1">
      <c r="A19" s="14" t="inlineStr">
        <is>
          <t>GAP-018</t>
        </is>
      </c>
      <c r="B19" s="14" t="inlineStr">
        <is>
          <t>RQ-P08</t>
        </is>
      </c>
      <c r="C19" s="14" t="inlineStr">
        <is>
          <t>v1.0 矩阵标记为部分覆盖。</t>
        </is>
      </c>
      <c r="D19" s="14" t="inlineStr">
        <is>
          <t>第 4、6、8 章已补充用例图、架构图、闭环流程图和任务状态机。</t>
        </is>
      </c>
      <c r="E19" s="14" t="inlineStr">
        <is>
          <t>已补齐。</t>
        </is>
      </c>
      <c r="F19" s="14" t="inlineStr">
        <is>
          <t>P0/P1</t>
        </is>
      </c>
      <c r="G19" s="14" t="inlineStr">
        <is>
          <t>已关闭</t>
        </is>
      </c>
    </row>
  </sheetData>
  <autoFilter ref="A1:G19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18" customWidth="1" min="4" max="4"/>
    <col width="24" customWidth="1" min="5" max="5"/>
    <col width="48" customWidth="1" min="6" max="6"/>
    <col width="34" customWidth="1" min="7" max="7"/>
  </cols>
  <sheetData>
    <row r="1">
      <c r="A1" s="5" t="inlineStr">
        <is>
          <t>测试/证据编号</t>
        </is>
      </c>
      <c r="B1" s="5" t="inlineStr">
        <is>
          <t>验收主题</t>
        </is>
      </c>
      <c r="C1" s="5" t="inlineStr">
        <is>
          <t>关联比赛要求</t>
        </is>
      </c>
      <c r="D1" s="5" t="inlineStr">
        <is>
          <t>关联用例</t>
        </is>
      </c>
      <c r="E1" s="5" t="inlineStr">
        <is>
          <t>关联需求</t>
        </is>
      </c>
      <c r="F1" s="5" t="inlineStr">
        <is>
          <t>建议验收场景</t>
        </is>
      </c>
      <c r="G1" s="5" t="inlineStr">
        <is>
          <t>应保留证据</t>
        </is>
      </c>
    </row>
    <row r="2" ht="54" customHeight="1">
      <c r="A2" s="2" t="inlineStr">
        <is>
          <t>TC-001</t>
        </is>
      </c>
      <c r="B2" s="2" t="inlineStr">
        <is>
          <t>画像构建</t>
        </is>
      </c>
      <c r="C2" s="2" t="inlineStr">
        <is>
          <t>RQ-F01/RQ-F02/RQ-F03</t>
        </is>
      </c>
      <c r="D2" s="2" t="inlineStr">
        <is>
          <t>UC-01</t>
        </is>
      </c>
      <c r="E2" s="2" t="inlineStr">
        <is>
          <t>FR-002</t>
        </is>
      </c>
      <c r="F2" s="2" t="inlineStr">
        <is>
          <t>输入自然语言学习背景，系统生成不少于 6 类画像字段，并允许用户确认。</t>
        </is>
      </c>
      <c r="G2" s="2" t="inlineStr">
        <is>
          <t>画像字段完整率、抽取准确率、确认记录。</t>
        </is>
      </c>
    </row>
    <row r="3" ht="54" customHeight="1">
      <c r="A3" s="2" t="inlineStr">
        <is>
          <t>TC-002</t>
        </is>
      </c>
      <c r="B3" s="2" t="inlineStr">
        <is>
          <t>画像动态更新</t>
        </is>
      </c>
      <c r="C3" s="2" t="inlineStr">
        <is>
          <t>RQ-F04</t>
        </is>
      </c>
      <c r="D3" s="2" t="inlineStr">
        <is>
          <t>UC-01/UC-06</t>
        </is>
      </c>
      <c r="E3" s="2" t="inlineStr">
        <is>
          <t>FR-003/FR-013</t>
        </is>
      </c>
      <c r="F3" s="2" t="inlineStr">
        <is>
          <t>完成练习和资源反馈后，画像版本发生合理更新。</t>
        </is>
      </c>
      <c r="G3" s="2" t="inlineStr">
        <is>
          <t>ProfileEvent、版本号、更新理由。</t>
        </is>
      </c>
    </row>
    <row r="4" ht="54" customHeight="1">
      <c r="A4" s="2" t="inlineStr">
        <is>
          <t>TC-003</t>
        </is>
      </c>
      <c r="B4" s="2" t="inlineStr">
        <is>
          <t>多 Agent 协作</t>
        </is>
      </c>
      <c r="C4" s="2" t="inlineStr">
        <is>
          <t>RQ-F05/RQ-F06</t>
        </is>
      </c>
      <c r="D4" s="2" t="inlineStr">
        <is>
          <t>UC-02/UC-09</t>
        </is>
      </c>
      <c r="E4" s="2" t="inlineStr">
        <is>
          <t>FR-007</t>
        </is>
      </c>
      <c r="F4" s="2" t="inlineStr">
        <is>
          <t>资源生成任务产生多个 Agent 节点日志，节点间输入输出可追踪。</t>
        </is>
      </c>
      <c r="G4" s="2" t="inlineStr">
        <is>
          <t>AgentRun、AgentLog、失败重试记录。</t>
        </is>
      </c>
    </row>
    <row r="5" ht="54" customHeight="1">
      <c r="A5" s="2" t="inlineStr">
        <is>
          <t>TC-004</t>
        </is>
      </c>
      <c r="B5" s="2" t="inlineStr">
        <is>
          <t>资源类型覆盖</t>
        </is>
      </c>
      <c r="C5" s="2" t="inlineStr">
        <is>
          <t>RQ-F07~RQ-F14</t>
        </is>
      </c>
      <c r="D5" s="2" t="inlineStr">
        <is>
          <t>UC-02/UC-04</t>
        </is>
      </c>
      <c r="E5" s="2" t="inlineStr">
        <is>
          <t>FR-008/FR-010/FR-011</t>
        </is>
      </c>
      <c r="F5" s="2" t="inlineStr">
        <is>
          <t>同一学习目标下生成不少于 5 类资源，且体现画像差异。</t>
        </is>
      </c>
      <c r="G5" s="2" t="inlineStr">
        <is>
          <t>ResourceSet、资源类型统计、引用依据。</t>
        </is>
      </c>
    </row>
    <row r="6" ht="54" customHeight="1">
      <c r="A6" s="2" t="inlineStr">
        <is>
          <t>TC-005</t>
        </is>
      </c>
      <c r="B6" s="2" t="inlineStr">
        <is>
          <t>路径规划</t>
        </is>
      </c>
      <c r="C6" s="2" t="inlineStr">
        <is>
          <t>RQ-F15/RQ-F16/RQ-F17</t>
        </is>
      </c>
      <c r="D6" s="2" t="inlineStr">
        <is>
          <t>UC-03</t>
        </is>
      </c>
      <c r="E6" s="2" t="inlineStr">
        <is>
          <t>FR-012/FR-013</t>
        </is>
      </c>
      <c r="F6" s="2" t="inlineStr">
        <is>
          <t>系统生成阶段目标、学习顺序、资源推送和动态调整结果。</t>
        </is>
      </c>
      <c r="G6" s="2" t="inlineStr">
        <is>
          <t>LearningPath、路径版本、调整原因。</t>
        </is>
      </c>
    </row>
    <row r="7" ht="54" customHeight="1">
      <c r="A7" s="2" t="inlineStr">
        <is>
          <t>TC-006</t>
        </is>
      </c>
      <c r="B7" s="2" t="inlineStr">
        <is>
          <t>智能辅导</t>
        </is>
      </c>
      <c r="C7" s="2" t="inlineStr">
        <is>
          <t>RQ-F18</t>
        </is>
      </c>
      <c r="D7" s="2" t="inlineStr">
        <is>
          <t>UC-05</t>
        </is>
      </c>
      <c r="E7" s="2" t="inlineStr">
        <is>
          <t>FR-014</t>
        </is>
      </c>
      <c r="F7" s="2" t="inlineStr">
        <is>
          <t>学生围绕当前章节提问，系统结合画像和知识库答复。</t>
        </is>
      </c>
      <c r="G7" s="2" t="inlineStr">
        <is>
          <t>回答引用、上下文命中、拒答或风险标记。</t>
        </is>
      </c>
    </row>
    <row r="8" ht="54" customHeight="1">
      <c r="A8" s="2" t="inlineStr">
        <is>
          <t>TC-007</t>
        </is>
      </c>
      <c r="B8" s="2" t="inlineStr">
        <is>
          <t>学习评估</t>
        </is>
      </c>
      <c r="C8" s="2" t="inlineStr">
        <is>
          <t>RQ-F19</t>
        </is>
      </c>
      <c r="D8" s="2" t="inlineStr">
        <is>
          <t>UC-06</t>
        </is>
      </c>
      <c r="E8" s="2" t="inlineStr">
        <is>
          <t>FR-013</t>
        </is>
      </c>
      <c r="F8" s="2" t="inlineStr">
        <is>
          <t>系统根据行为、练习和反馈形成掌握度报告并给出下一步建议。</t>
        </is>
      </c>
      <c r="G8" s="2" t="inlineStr">
        <is>
          <t>Report、错因趋势、路径调整建议。</t>
        </is>
      </c>
    </row>
    <row r="9" ht="54" customHeight="1">
      <c r="A9" s="2" t="inlineStr">
        <is>
          <t>TC-008</t>
        </is>
      </c>
      <c r="B9" s="2" t="inlineStr">
        <is>
          <t>防幻觉与内容安全</t>
        </is>
      </c>
      <c r="C9" s="2" t="inlineStr">
        <is>
          <t>RQ-NF07</t>
        </is>
      </c>
      <c r="D9" s="2" t="inlineStr">
        <is>
          <t>UC-02/UC-05/UC-08</t>
        </is>
      </c>
      <c r="E9" s="2" t="inlineStr">
        <is>
          <t>FR-009/FR-014</t>
        </is>
      </c>
      <c r="F9" s="2" t="inlineStr">
        <is>
          <t>输入无依据问题、错误诱导和敏感内容，系统拒答或标记风险。</t>
        </is>
      </c>
      <c r="G9" s="2" t="inlineStr">
        <is>
          <t>风险标签、引用缺失提示、审核队列记录。</t>
        </is>
      </c>
    </row>
    <row r="10" ht="54" customHeight="1">
      <c r="A10" s="2" t="inlineStr">
        <is>
          <t>TC-009</t>
        </is>
      </c>
      <c r="B10" s="2" t="inlineStr">
        <is>
          <t>体验与性能</t>
        </is>
      </c>
      <c r="C10" s="2" t="inlineStr">
        <is>
          <t>RQ-NF01/RQ-NF02/RQ-NF08/RQ-NF09</t>
        </is>
      </c>
      <c r="D10" s="2" t="inlineStr">
        <is>
          <t>UC-02/UC-05</t>
        </is>
      </c>
      <c r="E10" s="2" t="inlineStr">
        <is>
          <t>FR-017/FR-018</t>
        </is>
      </c>
      <c r="F10" s="2" t="inlineStr">
        <is>
          <t>普通交互响应满足目标，长任务展示进度或流式内容。</t>
        </is>
      </c>
      <c r="G10" s="2" t="inlineStr">
        <is>
          <t>P95 延迟、任务状态、前端截图。</t>
        </is>
      </c>
    </row>
    <row r="11" ht="54" customHeight="1">
      <c r="A11" s="2" t="inlineStr">
        <is>
          <t>TC-010</t>
        </is>
      </c>
      <c r="B11" s="2" t="inlineStr">
        <is>
          <t>合规与交付</t>
        </is>
      </c>
      <c r="C11" s="2" t="inlineStr">
        <is>
          <t>RQ-NF06/RQ-D02/RQ-D03/RQ-S04</t>
        </is>
      </c>
      <c r="D11" s="2" t="inlineStr">
        <is>
          <t>UC-11</t>
        </is>
      </c>
      <c r="E11" s="2" t="inlineStr">
        <is>
          <t>FR-018</t>
        </is>
      </c>
      <c r="F11" s="2" t="inlineStr">
        <is>
          <t>依赖、模型服务、AI 工具和资料来源均可追溯。</t>
        </is>
      </c>
      <c r="G11" s="2" t="inlineStr">
        <is>
          <t>依赖清单、协议说明、AI 工具说明。</t>
        </is>
      </c>
    </row>
    <row r="12" ht="54" customHeight="1">
      <c r="A12" s="2" t="inlineStr">
        <is>
          <t>TC-011</t>
        </is>
      </c>
      <c r="B12" s="2" t="inlineStr">
        <is>
          <t>课程知识库</t>
        </is>
      </c>
      <c r="C12" s="2" t="inlineStr">
        <is>
          <t>RQ-D04/RQ-D05</t>
        </is>
      </c>
      <c r="D12" s="2" t="inlineStr">
        <is>
          <t>UC-07</t>
        </is>
      </c>
      <c r="E12" s="2" t="inlineStr">
        <is>
          <t>FR-004</t>
        </is>
      </c>
      <c r="F12" s="2" t="inlineStr">
        <is>
          <t>导入一门完整课程资料，支持检索引用和版本维护。</t>
        </is>
      </c>
      <c r="G12" s="2" t="inlineStr">
        <is>
          <t>知识库目录、样例文档、检索命中记录。</t>
        </is>
      </c>
    </row>
    <row r="13" ht="54" customHeight="1">
      <c r="A13" s="2" t="inlineStr">
        <is>
          <t>TC-012</t>
        </is>
      </c>
      <c r="B13" s="2" t="inlineStr">
        <is>
          <t>文档完整性</t>
        </is>
      </c>
      <c r="C13" s="2" t="inlineStr">
        <is>
          <t>RQ-P01~RQ-P08</t>
        </is>
      </c>
      <c r="D13" s="2" t="inlineStr">
        <is>
          <t>不适用</t>
        </is>
      </c>
      <c r="E13" s="2" t="inlineStr">
        <is>
          <t>文档体系</t>
        </is>
      </c>
      <c r="F13" s="2" t="inlineStr">
        <is>
          <t>需求、开发、测试、部署、UI、集成和优化文档形成闭环。</t>
        </is>
      </c>
      <c r="G13" s="2" t="inlineStr">
        <is>
          <t>文档目录、版本记录、图表清单。</t>
        </is>
      </c>
    </row>
  </sheetData>
  <autoFilter ref="A1:G13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42" customWidth="1" min="3" max="3"/>
    <col width="34" customWidth="1" min="4" max="4"/>
    <col width="20" customWidth="1" min="5" max="5"/>
    <col width="34" customWidth="1" min="6" max="6"/>
  </cols>
  <sheetData>
    <row r="1" ht="30" customHeight="1">
      <c r="A1" s="1" t="inlineStr">
        <is>
          <t>需求文档正确性审核方法</t>
        </is>
      </c>
    </row>
    <row r="3">
      <c r="A3" s="5" t="inlineStr">
        <is>
          <t>步骤</t>
        </is>
      </c>
      <c r="B3" s="5" t="inlineStr">
        <is>
          <t>审核问题</t>
        </is>
      </c>
      <c r="C3" s="5" t="inlineStr">
        <is>
          <t>通过标准</t>
        </is>
      </c>
      <c r="D3" s="5" t="inlineStr">
        <is>
          <t>常见不通过表现</t>
        </is>
      </c>
      <c r="E3" s="5" t="inlineStr">
        <is>
          <t>对应工作表</t>
        </is>
      </c>
      <c r="F3" s="5" t="inlineStr">
        <is>
          <t>处理建议</t>
        </is>
      </c>
    </row>
    <row r="4" ht="64" customHeight="1">
      <c r="A4" s="2" t="inlineStr">
        <is>
          <t>1</t>
        </is>
      </c>
      <c r="B4" s="2" t="inlineStr">
        <is>
          <t>比赛要求是否被完整拆分？</t>
        </is>
      </c>
      <c r="C4" s="2" t="inlineStr">
        <is>
          <t>每条比赛功能、非功能、实现数据、文档提交要求均有编号。</t>
        </is>
      </c>
      <c r="D4" s="2" t="inlineStr">
        <is>
          <t>只做概括，没有逐条编号。</t>
        </is>
      </c>
      <c r="E4" s="2" t="inlineStr">
        <is>
          <t>比赛要求覆盖矩阵</t>
        </is>
      </c>
      <c r="F4" s="2" t="inlineStr">
        <is>
          <t>从原始比赛要求逐条复核，缺项新增 RQ 行。</t>
        </is>
      </c>
    </row>
    <row r="5" ht="64" customHeight="1">
      <c r="A5" s="2" t="inlineStr">
        <is>
          <t>2</t>
        </is>
      </c>
      <c r="B5" s="2" t="inlineStr">
        <is>
          <t>每条要求是否可追溯？</t>
        </is>
      </c>
      <c r="C5" s="2" t="inlineStr">
        <is>
          <t>P0/P1 要求能追到用例、功能需求、非功能或数据对象。</t>
        </is>
      </c>
      <c r="D5" s="2" t="inlineStr">
        <is>
          <t>只有口号式描述，找不到 UC/FR/NFR。</t>
        </is>
      </c>
      <c r="E5" s="2" t="inlineStr">
        <is>
          <t>比赛要求覆盖矩阵</t>
        </is>
      </c>
      <c r="F5" s="2" t="inlineStr">
        <is>
          <t>补充需求编号或调整需求规格说明书。</t>
        </is>
      </c>
    </row>
    <row r="6" ht="64" customHeight="1">
      <c r="A6" s="2" t="inlineStr">
        <is>
          <t>3</t>
        </is>
      </c>
      <c r="B6" s="2" t="inlineStr">
        <is>
          <t>每条要求是否可验收？</t>
        </is>
      </c>
      <c r="C6" s="2" t="inlineStr">
        <is>
          <t>有测试场景、证据或交付物，能够判断通过/失败。</t>
        </is>
      </c>
      <c r="D6" s="2" t="inlineStr">
        <is>
          <t>没有测试口径，无法证明实现。</t>
        </is>
      </c>
      <c r="E6" s="2" t="inlineStr">
        <is>
          <t>验收追踪表</t>
        </is>
      </c>
      <c r="F6" s="2" t="inlineStr">
        <is>
          <t>新增测试用例、评测集、截图或日志证据。</t>
        </is>
      </c>
    </row>
    <row r="7" ht="64" customHeight="1">
      <c r="A7" s="2" t="inlineStr">
        <is>
          <t>4</t>
        </is>
      </c>
      <c r="B7" s="2" t="inlineStr">
        <is>
          <t>部分覆盖是否有关闭动作？</t>
        </is>
      </c>
      <c r="C7" s="2" t="inlineStr">
        <is>
          <t>所有“部分覆盖/需补充”均进入缺口清单。</t>
        </is>
      </c>
      <c r="D7" s="2" t="inlineStr">
        <is>
          <t>缺口只写在备注里，没有负责人或动作。</t>
        </is>
      </c>
      <c r="E7" s="2" t="inlineStr">
        <is>
          <t>缺口与动作清单</t>
        </is>
      </c>
      <c r="F7" s="2" t="inlineStr">
        <is>
          <t>按优先级推进并更新状态。</t>
        </is>
      </c>
    </row>
    <row r="8" ht="64" customHeight="1">
      <c r="A8" s="2" t="inlineStr">
        <is>
          <t>5</t>
        </is>
      </c>
      <c r="B8" s="2" t="inlineStr">
        <is>
          <t>系统边界是否一致？</t>
        </is>
      </c>
      <c r="C8" s="2" t="inlineStr">
        <is>
          <t>提交材料和产品功能分开，不把交付材料写成系统角色或系统功能。</t>
        </is>
      </c>
      <c r="D8" s="2" t="inlineStr">
        <is>
          <t>把比赛展示、PPT、视频等交付物混进产品功能。</t>
        </is>
      </c>
      <c r="E8" s="2" t="inlineStr">
        <is>
          <t>覆盖总览/矩阵</t>
        </is>
      </c>
      <c r="F8" s="2" t="inlineStr">
        <is>
          <t>保留为交付清单，不进入用户系统需求。</t>
        </is>
      </c>
    </row>
    <row r="9" ht="64" customHeight="1">
      <c r="A9" s="2" t="inlineStr">
        <is>
          <t>6</t>
        </is>
      </c>
      <c r="B9" s="2" t="inlineStr">
        <is>
          <t>需求是否生产级？</t>
        </is>
      </c>
      <c r="C9" s="2" t="inlineStr">
        <is>
          <t>关键需求有数据、接口、性能、安全、可观测性和异常处理约束。</t>
        </is>
      </c>
      <c r="D9" s="2" t="inlineStr">
        <is>
          <t>只列功能点，没有质量属性和失败处理。</t>
        </is>
      </c>
      <c r="E9" s="2" t="inlineStr">
        <is>
          <t>需求规格说明书/矩阵</t>
        </is>
      </c>
      <c r="F9" s="2" t="inlineStr">
        <is>
          <t>补充 NFR、接口、数据模型和验收规则。</t>
        </is>
      </c>
    </row>
  </sheetData>
  <mergeCells count="1">
    <mergeCell ref="A1:F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2026-06-21T15:18:41Z</dcterms:created>
  <dcterms:modified xmlns:dcterms="http://purl.org/dc/terms/" xmlns:xsi="http://www.w3.org/2001/XMLSchema-instance" xsi:type="dcterms:W3CDTF">2026-06-21T15:41:33Z</dcterms:modified>
</cp:coreProperties>
</file>